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RME-USB\Project Control\Cash\Reinnovation\"/>
    </mc:Choice>
  </mc:AlternateContent>
  <xr:revisionPtr revIDLastSave="0" documentId="13_ncr:1_{1008ECDF-8E37-4E3F-9DE0-7E49A023840B}" xr6:coauthVersionLast="47" xr6:coauthVersionMax="47" xr10:uidLastSave="{00000000-0000-0000-0000-000000000000}"/>
  <bookViews>
    <workbookView xWindow="-120" yWindow="-120" windowWidth="20730" windowHeight="11160" activeTab="1" xr2:uid="{DF4380CF-C335-4A0A-9E43-E66C60795996}"/>
  </bookViews>
  <sheets>
    <sheet name="Master Data Oricale" sheetId="8" r:id="rId1"/>
    <sheet name="For Collection" sheetId="6" r:id="rId2"/>
    <sheet name="General Categroization" sheetId="1" r:id="rId3"/>
    <sheet name="Interface" sheetId="3" r:id="rId4"/>
    <sheet name="Summary" sheetId="4" r:id="rId5"/>
    <sheet name="Clients" sheetId="7" r:id="rId6"/>
  </sheets>
  <functionGroups builtInGroupCount="19"/>
  <definedNames>
    <definedName name="_" localSheetId="0">#REF!</definedName>
    <definedName name="_">#REF!</definedName>
    <definedName name="_xlnm._FilterDatabase" localSheetId="0" hidden="1">'Master Data Oricale'!$A$1:$G$123</definedName>
  </definedNames>
  <calcPr calcId="191029" calcMode="manual"/>
  <pivotCaches>
    <pivotCache cacheId="2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9" i="8" l="1"/>
  <c r="B120" i="8"/>
  <c r="B121" i="8"/>
  <c r="B122" i="8"/>
  <c r="B123" i="8"/>
  <c r="B32" i="8"/>
  <c r="B10" i="8"/>
  <c r="B17" i="8"/>
  <c r="B78" i="8"/>
  <c r="B97" i="8"/>
  <c r="B58" i="8"/>
  <c r="B96" i="8"/>
  <c r="B36" i="8"/>
  <c r="B26" i="8"/>
  <c r="B86" i="8"/>
  <c r="B24" i="8"/>
  <c r="B88" i="8"/>
  <c r="B60" i="8"/>
  <c r="B31" i="8"/>
  <c r="B28" i="8"/>
  <c r="B42" i="8"/>
  <c r="B102" i="8"/>
  <c r="B87" i="8"/>
  <c r="B57" i="8"/>
  <c r="B20" i="8"/>
  <c r="B35" i="8"/>
  <c r="B94" i="8"/>
  <c r="B54" i="8"/>
  <c r="B101" i="8"/>
  <c r="B63" i="8"/>
  <c r="B85" i="8"/>
  <c r="B45" i="8"/>
  <c r="B53" i="8"/>
  <c r="B67" i="8"/>
  <c r="B90" i="8"/>
  <c r="B64" i="8"/>
  <c r="B100" i="8"/>
  <c r="B75" i="8"/>
  <c r="B71" i="8"/>
  <c r="B91" i="8"/>
  <c r="B8" i="8"/>
  <c r="B2" i="8"/>
  <c r="B61" i="8"/>
  <c r="B99" i="8"/>
  <c r="B98" i="8"/>
  <c r="B79" i="8"/>
  <c r="B62" i="8"/>
  <c r="B72" i="8"/>
  <c r="B92" i="8"/>
  <c r="B66" i="8"/>
  <c r="B48" i="8"/>
  <c r="B47" i="8"/>
  <c r="B51" i="8"/>
  <c r="B56" i="8"/>
  <c r="B40" i="8"/>
  <c r="B59" i="8"/>
  <c r="B55" i="8"/>
  <c r="B16" i="8"/>
  <c r="B50" i="8"/>
  <c r="B52" i="8"/>
  <c r="B12" i="8"/>
  <c r="B49" i="8"/>
  <c r="B65" i="8"/>
  <c r="B6" i="8"/>
  <c r="B15" i="8"/>
  <c r="B22" i="8"/>
  <c r="B29" i="8"/>
  <c r="B41" i="8"/>
  <c r="B43" i="8"/>
  <c r="B76" i="8"/>
  <c r="B73" i="8"/>
  <c r="B81" i="8"/>
  <c r="B74" i="8"/>
  <c r="B93" i="8"/>
  <c r="B68" i="8"/>
  <c r="B84" i="8"/>
  <c r="B83" i="8"/>
  <c r="B69" i="8"/>
  <c r="B89" i="8"/>
  <c r="B82" i="8"/>
  <c r="B115" i="8"/>
  <c r="B103" i="8"/>
  <c r="B70" i="8"/>
  <c r="B25" i="8"/>
  <c r="B38" i="8"/>
  <c r="B95" i="8"/>
  <c r="B34" i="8"/>
  <c r="B44" i="8"/>
  <c r="B77" i="8"/>
  <c r="B14" i="8"/>
  <c r="B11" i="8"/>
  <c r="B19" i="8"/>
  <c r="B46" i="8"/>
  <c r="B80" i="8"/>
  <c r="B107" i="8"/>
  <c r="B108" i="8"/>
  <c r="B21" i="8"/>
  <c r="B27" i="8"/>
  <c r="B18" i="8"/>
  <c r="B105" i="8"/>
  <c r="B23" i="8"/>
  <c r="B104" i="8"/>
  <c r="B109" i="8"/>
  <c r="B110" i="8"/>
  <c r="B39" i="8"/>
  <c r="B9" i="8"/>
  <c r="B111" i="8"/>
  <c r="B33" i="8"/>
  <c r="B13" i="8"/>
  <c r="B3" i="8"/>
  <c r="B7" i="8"/>
  <c r="B5" i="8"/>
  <c r="B106" i="8"/>
  <c r="B112" i="8"/>
  <c r="B4" i="8"/>
  <c r="B118" i="8"/>
  <c r="B30" i="8"/>
  <c r="B116" i="8"/>
  <c r="B37" i="8"/>
  <c r="G7" i="6" a="1"/>
  <c r="G6" i="6" a="1"/>
  <c r="G4" i="6" a="1"/>
  <c r="G2" i="6" a="1"/>
  <c r="G2" i="3" a="1"/>
  <c r="B2" i="3" a="1"/>
  <c r="G58" i="3" a="1"/>
  <c r="B280" i="3" a="1"/>
  <c r="B225" i="3" a="1"/>
  <c r="B309" i="3" a="1"/>
  <c r="B43" i="3" a="1"/>
  <c r="B253" i="3" a="1"/>
  <c r="B149" i="3" a="1"/>
  <c r="B276" i="3" a="1"/>
  <c r="J27" i="3" a="1"/>
  <c r="B215" i="3" a="1"/>
  <c r="B168" i="3" a="1"/>
  <c r="B226" i="3" a="1"/>
  <c r="B9" i="3" a="1"/>
  <c r="G26" i="3" a="1"/>
  <c r="G7" i="3" a="1"/>
  <c r="B218" i="3" a="1"/>
  <c r="J30" i="3" a="1"/>
  <c r="B219" i="3" a="1"/>
  <c r="B145" i="3" a="1"/>
  <c r="B184" i="3" a="1"/>
  <c r="B170" i="3" a="1"/>
  <c r="B304" i="3" a="1"/>
  <c r="B310" i="3" a="1"/>
  <c r="G40" i="3" a="1"/>
  <c r="B58" i="3" a="1"/>
  <c r="B38" i="3" a="1"/>
  <c r="M29" i="3" a="1"/>
  <c r="M22" i="3" a="1"/>
  <c r="M13" i="3" a="1"/>
  <c r="B86" i="3" a="1"/>
  <c r="B343" i="3" a="1"/>
  <c r="G42" i="3" a="1"/>
  <c r="G31" i="3" a="1"/>
  <c r="G47" i="3" a="1"/>
  <c r="B323" i="3" a="1"/>
  <c r="B319" i="3" a="1"/>
  <c r="B295" i="3" a="1"/>
  <c r="B89" i="3" a="1"/>
  <c r="G16" i="3" a="1"/>
  <c r="M35" i="3" a="1"/>
  <c r="M27" i="3" a="1"/>
  <c r="B274" i="3" a="1"/>
  <c r="B217" i="3" a="1"/>
  <c r="B298" i="3" a="1"/>
  <c r="B283" i="3" a="1"/>
  <c r="B279" i="3" a="1"/>
  <c r="B331" i="3" a="1"/>
  <c r="B322" i="3" a="1"/>
  <c r="B246" i="3" a="1"/>
  <c r="B11" i="3" a="1"/>
  <c r="B324" i="3" a="1"/>
  <c r="B161" i="3" a="1"/>
  <c r="B16" i="3" a="1"/>
  <c r="M41" i="3" a="1"/>
  <c r="M31" i="3" a="1"/>
  <c r="G17" i="3" a="1"/>
  <c r="B206" i="3" a="1"/>
  <c r="B27" i="3" a="1"/>
  <c r="B69" i="3" a="1"/>
  <c r="B108" i="3" a="1"/>
  <c r="G29" i="3" a="1"/>
  <c r="B96" i="3" a="1"/>
  <c r="B134" i="3" a="1"/>
  <c r="B49" i="3" a="1"/>
  <c r="B95" i="3" a="1"/>
  <c r="B249" i="3" a="1"/>
  <c r="B122" i="3" a="1"/>
  <c r="B336" i="3" a="1"/>
  <c r="B117" i="3" a="1"/>
  <c r="B123" i="3" a="1"/>
  <c r="B70" i="3" a="1"/>
  <c r="B190" i="3" a="1"/>
  <c r="M42" i="3" a="1"/>
  <c r="B20" i="3" a="1"/>
  <c r="B48" i="3" a="1"/>
  <c r="B240" i="3" a="1"/>
  <c r="B55" i="3" a="1"/>
  <c r="B140" i="3" a="1"/>
  <c r="B37" i="3" a="1"/>
  <c r="B315" i="3" a="1"/>
  <c r="B210" i="3" a="1"/>
  <c r="B162" i="3" a="1"/>
  <c r="B114" i="3" a="1"/>
  <c r="B77" i="3" a="1"/>
  <c r="B42" i="3" a="1"/>
  <c r="B110" i="3" a="1"/>
  <c r="M44" i="3" a="1"/>
  <c r="B183" i="3" a="1"/>
  <c r="B160" i="3" a="1"/>
  <c r="G53" i="3" a="1"/>
  <c r="B299" i="3" a="1"/>
  <c r="G30" i="3" a="1"/>
  <c r="B347" i="3" a="1"/>
  <c r="B258" i="3" a="1"/>
  <c r="M20" i="3" a="1"/>
  <c r="G48" i="3" a="1"/>
  <c r="B325" i="3" a="1"/>
  <c r="B339" i="3" a="1"/>
  <c r="B73" i="3" a="1"/>
  <c r="B22" i="3" a="1"/>
  <c r="B231" i="3" a="1"/>
  <c r="M19" i="3" a="1"/>
  <c r="B345" i="3" a="1"/>
  <c r="B105" i="3" a="1"/>
  <c r="B330" i="3" a="1"/>
  <c r="B44" i="3" a="1"/>
  <c r="G36" i="3" a="1"/>
  <c r="B29" i="3" a="1"/>
  <c r="B205" i="3" a="1"/>
  <c r="B124" i="3" a="1"/>
  <c r="B112" i="3" a="1"/>
  <c r="B175" i="3" a="1"/>
  <c r="B306" i="3" a="1"/>
  <c r="B281" i="3" a="1"/>
  <c r="M10" i="3" a="1"/>
  <c r="B265" i="3" a="1"/>
  <c r="G5" i="6" a="1"/>
  <c r="G4" i="3" a="1"/>
  <c r="B88" i="3" a="1"/>
  <c r="G19" i="3" a="1"/>
  <c r="G44" i="3" a="1"/>
  <c r="B266" i="3" a="1"/>
  <c r="B24" i="3" a="1"/>
  <c r="B355" i="3" a="1"/>
  <c r="B82" i="3" a="1"/>
  <c r="B75" i="3" a="1"/>
  <c r="B352" i="3" a="1"/>
  <c r="B346" i="3" a="1"/>
  <c r="G14" i="3" a="1"/>
  <c r="G33" i="3" a="1"/>
  <c r="G8" i="3" a="1"/>
  <c r="B232" i="3" a="1"/>
  <c r="B335" i="3" a="1"/>
  <c r="G13" i="3" a="1"/>
  <c r="B71" i="3" a="1"/>
  <c r="B125" i="3" a="1"/>
  <c r="B317" i="3" a="1"/>
  <c r="M4" i="3" a="1"/>
  <c r="M50" i="3" a="1"/>
  <c r="B8" i="3" a="1"/>
  <c r="B164" i="3" a="1"/>
  <c r="G28" i="3" a="1"/>
  <c r="B153" i="3" a="1"/>
  <c r="B185" i="3" a="1"/>
  <c r="B328" i="3" a="1"/>
  <c r="B254" i="3" a="1"/>
  <c r="B294" i="3" a="1"/>
  <c r="M2" i="3" a="1"/>
  <c r="B307" i="3" a="1"/>
  <c r="B176" i="3" a="1"/>
  <c r="B268" i="3" a="1"/>
  <c r="G45" i="3" a="1"/>
  <c r="B163" i="3" a="1"/>
  <c r="B66" i="3" a="1"/>
  <c r="B36" i="3" a="1"/>
  <c r="B159" i="3" a="1"/>
  <c r="B141" i="3" a="1"/>
  <c r="M18" i="3" a="1"/>
  <c r="B344" i="3" a="1"/>
  <c r="B80" i="3" a="1"/>
  <c r="B303" i="3" a="1"/>
  <c r="B28" i="3" a="1"/>
  <c r="B213" i="3" a="1"/>
  <c r="B188" i="3" a="1"/>
  <c r="J12" i="3" a="1"/>
  <c r="B146" i="3" a="1"/>
  <c r="B348" i="3" a="1"/>
  <c r="G34" i="3" a="1"/>
  <c r="B107" i="3" a="1"/>
  <c r="B35" i="3" a="1"/>
  <c r="B101" i="3" a="1"/>
  <c r="M24" i="3" a="1"/>
  <c r="B76" i="3" a="1"/>
  <c r="B245" i="3" a="1"/>
  <c r="B313" i="3" a="1"/>
  <c r="B320" i="3" a="1"/>
  <c r="B179" i="3" a="1"/>
  <c r="G54" i="3" a="1"/>
  <c r="G12" i="3" a="1"/>
  <c r="B152" i="3" a="1"/>
  <c r="B173" i="3" a="1"/>
  <c r="M39" i="3" a="1"/>
  <c r="G37" i="3" a="1"/>
  <c r="B278" i="3" a="1"/>
  <c r="B135" i="3" a="1"/>
  <c r="B252" i="3" a="1"/>
  <c r="B68" i="3" a="1"/>
  <c r="B5" i="3" a="1"/>
  <c r="B78" i="3" a="1"/>
  <c r="B84" i="3" a="1"/>
  <c r="B90" i="3" a="1"/>
  <c r="B150" i="3" a="1"/>
  <c r="B289" i="3" a="1"/>
  <c r="B59" i="3" a="1"/>
  <c r="B287" i="3" a="1"/>
  <c r="B33" i="3" a="1"/>
  <c r="B67" i="3" a="1"/>
  <c r="B181" i="3" a="1"/>
  <c r="M37" i="3" a="1"/>
  <c r="B102" i="3" a="1"/>
  <c r="B142" i="3" a="1"/>
  <c r="B230" i="3" a="1"/>
  <c r="B46" i="3" a="1"/>
  <c r="B250" i="3" a="1"/>
  <c r="B318" i="3" a="1"/>
  <c r="B52" i="3" a="1"/>
  <c r="B337" i="3" a="1"/>
  <c r="B180" i="3" a="1"/>
  <c r="B165" i="3" a="1"/>
  <c r="G3" i="6" a="1"/>
  <c r="J2" i="3" a="1"/>
  <c r="B23" i="3" a="1"/>
  <c r="B104" i="3" a="1"/>
  <c r="B311" i="3" a="1"/>
  <c r="B32" i="3" a="1"/>
  <c r="B156" i="3" a="1"/>
  <c r="B301" i="3" a="1"/>
  <c r="B342" i="3" a="1"/>
  <c r="B209" i="3" a="1"/>
  <c r="B327" i="3" a="1"/>
  <c r="G50" i="3" a="1"/>
  <c r="B72" i="3" a="1"/>
  <c r="B100" i="3" a="1"/>
  <c r="B300" i="3" a="1"/>
  <c r="B39" i="3" a="1"/>
  <c r="B201" i="3" a="1"/>
  <c r="B338" i="3" a="1"/>
  <c r="B242" i="3" a="1"/>
  <c r="G3" i="3" a="1"/>
  <c r="B85" i="3" a="1"/>
  <c r="B53" i="3" a="1"/>
  <c r="M32" i="3" a="1"/>
  <c r="M43" i="3" a="1"/>
  <c r="B119" i="3" a="1"/>
  <c r="B56" i="3" a="1"/>
  <c r="B220" i="3" a="1"/>
  <c r="B340" i="3" a="1"/>
  <c r="B305" i="3" a="1"/>
  <c r="B272" i="3" a="1"/>
  <c r="B17" i="3" a="1"/>
  <c r="M16" i="3" a="1"/>
  <c r="G15" i="3" a="1"/>
  <c r="B137" i="3" a="1"/>
  <c r="B63" i="3" a="1"/>
  <c r="B297" i="3" a="1"/>
  <c r="B329" i="3" a="1"/>
  <c r="B257" i="3" a="1"/>
  <c r="B50" i="3" a="1"/>
  <c r="B115" i="3" a="1"/>
  <c r="G41" i="3" a="1"/>
  <c r="B316" i="3" a="1"/>
  <c r="B172" i="3" a="1"/>
  <c r="G57" i="3" a="1"/>
  <c r="B47" i="3" a="1"/>
  <c r="B333" i="3" a="1"/>
  <c r="B79" i="3" a="1"/>
  <c r="B118" i="3" a="1"/>
  <c r="B92" i="3" a="1"/>
  <c r="B214" i="3" a="1"/>
  <c r="B216" i="3" a="1"/>
  <c r="B139" i="3" a="1"/>
  <c r="B308" i="3" a="1"/>
  <c r="M14" i="3" a="1"/>
  <c r="M25" i="3" a="1"/>
  <c r="B128" i="3" a="1"/>
  <c r="B147" i="3" a="1"/>
  <c r="B229" i="3" a="1"/>
  <c r="B334" i="3" a="1"/>
  <c r="B97" i="3" a="1"/>
  <c r="B136" i="3" a="1"/>
  <c r="B238" i="3" a="1"/>
  <c r="M12" i="3" a="1"/>
  <c r="B182" i="3" a="1"/>
  <c r="G21" i="3" a="1"/>
  <c r="B54" i="3" a="1"/>
  <c r="B187" i="3" a="1"/>
  <c r="B273" i="3" a="1"/>
  <c r="B62" i="3" a="1"/>
  <c r="B18" i="3" a="1"/>
  <c r="B155" i="3" a="1"/>
  <c r="B332" i="3" a="1"/>
  <c r="B243" i="3" a="1"/>
  <c r="M36" i="3" a="1"/>
  <c r="G49" i="3" a="1"/>
  <c r="B64" i="3" a="1"/>
  <c r="B236" i="3" a="1"/>
  <c r="B235" i="3" a="1"/>
  <c r="B207" i="3" a="1"/>
  <c r="B130" i="3" a="1"/>
  <c r="B321" i="3" a="1"/>
  <c r="B174" i="3" a="1"/>
  <c r="B167" i="3" a="1"/>
  <c r="B7" i="3" a="1"/>
  <c r="B288" i="3" a="1"/>
  <c r="B41" i="3" a="1"/>
  <c r="B144" i="3" a="1"/>
  <c r="M15" i="3" a="1"/>
  <c r="B234" i="3" a="1"/>
  <c r="B302" i="3" a="1"/>
  <c r="G6" i="3" a="1"/>
  <c r="B282" i="3" a="1"/>
  <c r="B248" i="3" a="1"/>
  <c r="B91" i="3" a="1"/>
  <c r="G18" i="3" a="1"/>
  <c r="J19" i="3" a="1"/>
  <c r="B350" i="3" a="1"/>
  <c r="M8" i="3" a="1"/>
  <c r="J14" i="3" a="1"/>
  <c r="B157" i="3" a="1"/>
  <c r="B197" i="3" a="1"/>
  <c r="B51" i="3" a="1"/>
  <c r="B353" i="3" a="1"/>
  <c r="B129" i="3" a="1"/>
  <c r="B133" i="3" a="1"/>
  <c r="B200" i="3" a="1"/>
  <c r="G9" i="3" a="1"/>
  <c r="B259" i="3" a="1"/>
  <c r="B228" i="3" a="1"/>
  <c r="B296" i="3" a="1"/>
  <c r="B83" i="3" a="1"/>
  <c r="B131" i="3" a="1"/>
  <c r="B349" i="3" a="1"/>
  <c r="B251" i="3" a="1"/>
  <c r="B221" i="3" a="1"/>
  <c r="B354" i="3" a="1"/>
  <c r="B34" i="3" a="1"/>
  <c r="B186" i="3" a="1"/>
  <c r="M40" i="3" a="1"/>
  <c r="B138" i="3" a="1"/>
  <c r="B271" i="3" a="1"/>
  <c r="B15" i="3" a="1"/>
  <c r="B202" i="3" a="1"/>
  <c r="B166" i="3" a="1"/>
  <c r="B357" i="3" a="1"/>
  <c r="M5" i="3" a="1"/>
  <c r="B177" i="3" a="1"/>
  <c r="B189" i="3" a="1"/>
  <c r="G46" i="3" a="1"/>
  <c r="B148" i="3" a="1"/>
  <c r="B286" i="3" a="1"/>
  <c r="B356" i="3" a="1"/>
  <c r="M51" i="3" a="1"/>
  <c r="B312" i="3" a="1"/>
  <c r="G23" i="3" a="1"/>
  <c r="B6" i="3" a="1"/>
  <c r="B31" i="3" a="1"/>
  <c r="M26" i="3" a="1"/>
  <c r="B261" i="3" a="1"/>
  <c r="B126" i="3" a="1"/>
  <c r="M7" i="3" a="1"/>
  <c r="G43" i="3" a="1"/>
  <c r="B25" i="3" a="1"/>
  <c r="G35" i="3" a="1"/>
  <c r="B264" i="3" a="1"/>
  <c r="M49" i="3" a="1"/>
  <c r="B12" i="3" a="1"/>
  <c r="B74" i="3" a="1"/>
  <c r="B326" i="3" a="1"/>
  <c r="B178" i="3" a="1"/>
  <c r="B194" i="3" a="1"/>
  <c r="B14" i="3" a="1"/>
  <c r="B262" i="3" a="1"/>
  <c r="B191" i="3" a="1"/>
  <c r="B267" i="3" a="1"/>
  <c r="B199" i="3" a="1"/>
  <c r="B21" i="3" a="1"/>
  <c r="G39" i="3" a="1"/>
  <c r="B193" i="3" a="1"/>
  <c r="M33" i="3" a="1"/>
  <c r="B203" i="3" a="1"/>
  <c r="B196" i="3" a="1"/>
  <c r="B113" i="3" a="1"/>
  <c r="J7" i="3" a="1"/>
  <c r="B237" i="3" a="1"/>
  <c r="B10" i="3" a="1"/>
  <c r="B171" i="3" a="1"/>
  <c r="B314" i="3" a="1"/>
  <c r="B269" i="3" a="1"/>
  <c r="J10" i="3" a="1"/>
  <c r="B87" i="3" a="1"/>
  <c r="B341" i="3" a="1"/>
  <c r="B192" i="3" a="1"/>
  <c r="B3" i="3" a="1"/>
  <c r="B132" i="3" a="1"/>
  <c r="M23" i="3" a="1"/>
  <c r="B127" i="3" a="1"/>
  <c r="B224" i="3" a="1"/>
  <c r="G5" i="3" a="1"/>
  <c r="B98" i="3" a="1"/>
  <c r="B81" i="3" a="1"/>
  <c r="B45" i="3" a="1"/>
  <c r="M11" i="3" a="1"/>
  <c r="J9" i="3" a="1"/>
  <c r="B60" i="3" a="1"/>
  <c r="B239" i="3" a="1"/>
  <c r="B103" i="3" a="1"/>
  <c r="B208" i="3" a="1"/>
  <c r="G32" i="3" a="1"/>
  <c r="M6" i="3" a="1"/>
  <c r="B93" i="3" a="1"/>
  <c r="B247" i="3" a="1"/>
  <c r="B120" i="3" a="1"/>
  <c r="B256" i="3" a="1"/>
  <c r="B255" i="3" a="1"/>
  <c r="B292" i="3" a="1"/>
  <c r="B26" i="3" a="1"/>
  <c r="B158" i="3" a="1"/>
  <c r="B270" i="3" a="1"/>
  <c r="G38" i="3" a="1"/>
  <c r="M30" i="3" a="1"/>
  <c r="B263" i="3" a="1"/>
  <c r="B291" i="3" a="1"/>
  <c r="B195" i="3" a="1"/>
  <c r="B143" i="3" a="1"/>
  <c r="M48" i="3" a="1"/>
  <c r="B244" i="3" a="1"/>
  <c r="B222" i="3" a="1"/>
  <c r="B111" i="3" a="1"/>
  <c r="B223" i="3" a="1"/>
  <c r="B151" i="3" a="1"/>
  <c r="B290" i="3" a="1"/>
  <c r="B121" i="3" a="1"/>
  <c r="M34" i="3" a="1"/>
  <c r="B293" i="3" a="1"/>
  <c r="B99" i="3" a="1"/>
  <c r="B106" i="3" a="1"/>
  <c r="B198" i="3" a="1"/>
  <c r="B277" i="3" a="1"/>
  <c r="B275" i="3" a="1"/>
  <c r="B285" i="3" a="1"/>
  <c r="B94" i="3" a="1"/>
  <c r="G27" i="3" a="1"/>
  <c r="B57" i="3" a="1"/>
  <c r="B212" i="3" a="1"/>
  <c r="B204" i="3" a="1"/>
  <c r="B169" i="3" a="1"/>
  <c r="B109" i="3" a="1"/>
  <c r="B260" i="3" a="1"/>
  <c r="B61" i="3" a="1"/>
  <c r="M17" i="3" a="1"/>
  <c r="B233" i="3" a="1"/>
  <c r="B154" i="3" a="1"/>
  <c r="M9" i="3" a="1"/>
  <c r="B351" i="3" a="1"/>
  <c r="G24" i="3" a="1"/>
  <c r="G25" i="3" a="1"/>
  <c r="B65" i="3" a="1"/>
  <c r="M38" i="3" a="1"/>
  <c r="B116" i="3" a="1"/>
  <c r="G10" i="3" a="1"/>
  <c r="J29" i="3" a="1"/>
  <c r="B30" i="3" a="1"/>
  <c r="B284" i="3" a="1"/>
  <c r="B211" i="3" a="1"/>
  <c r="B241" i="3" a="1"/>
  <c r="G55" i="3" a="1"/>
  <c r="B4" i="3" a="1"/>
  <c r="B40" i="3" a="1"/>
  <c r="B227" i="3" a="1"/>
  <c r="B19" i="3" a="1"/>
  <c r="M3" i="3" a="1"/>
  <c r="B13" i="3" a="1"/>
  <c r="J2" i="3" l="1"/>
  <c r="G3" i="6"/>
  <c r="G4" i="3"/>
  <c r="G5" i="6"/>
  <c r="B2" i="3"/>
  <c r="G2" i="3"/>
  <c r="G2" i="6"/>
  <c r="G4" i="6"/>
  <c r="G6" i="6"/>
  <c r="G7" i="6"/>
  <c r="M48" i="3"/>
  <c r="M10" i="3"/>
  <c r="B87" i="3"/>
  <c r="B165" i="3"/>
  <c r="B46" i="3"/>
  <c r="B281" i="3"/>
  <c r="B116" i="3"/>
  <c r="B74" i="3"/>
  <c r="B180" i="3"/>
  <c r="B306" i="3"/>
  <c r="B230" i="3"/>
  <c r="B143" i="3"/>
  <c r="J10" i="3"/>
  <c r="B175" i="3"/>
  <c r="B337" i="3"/>
  <c r="B142" i="3"/>
  <c r="B326" i="3"/>
  <c r="B112" i="3"/>
  <c r="B12" i="3"/>
  <c r="B52" i="3"/>
  <c r="B102" i="3"/>
  <c r="B124" i="3"/>
  <c r="B195" i="3"/>
  <c r="B269" i="3"/>
  <c r="B318" i="3"/>
  <c r="B205" i="3"/>
  <c r="M37" i="3"/>
  <c r="M38" i="3"/>
  <c r="M49" i="3"/>
  <c r="B29" i="3"/>
  <c r="B250" i="3"/>
  <c r="B181" i="3"/>
  <c r="B291" i="3"/>
  <c r="G36" i="3"/>
  <c r="B13" i="3"/>
  <c r="B349" i="3"/>
  <c r="B67" i="3"/>
  <c r="B44" i="3"/>
  <c r="B65" i="3"/>
  <c r="B264" i="3"/>
  <c r="B131" i="3"/>
  <c r="B330" i="3"/>
  <c r="B33" i="3"/>
  <c r="B263" i="3"/>
  <c r="B314" i="3"/>
  <c r="B105" i="3"/>
  <c r="B83" i="3"/>
  <c r="B287" i="3"/>
  <c r="G25" i="3"/>
  <c r="B345" i="3"/>
  <c r="G35" i="3"/>
  <c r="B296" i="3"/>
  <c r="B59" i="3"/>
  <c r="M19" i="3"/>
  <c r="M30" i="3"/>
  <c r="M3" i="3"/>
  <c r="B228" i="3"/>
  <c r="B231" i="3"/>
  <c r="B289" i="3"/>
  <c r="G24" i="3"/>
  <c r="B25" i="3"/>
  <c r="B22" i="3"/>
  <c r="B259" i="3"/>
  <c r="B150" i="3"/>
  <c r="G38" i="3"/>
  <c r="B73" i="3"/>
  <c r="B171" i="3"/>
  <c r="G9" i="3"/>
  <c r="B90" i="3"/>
  <c r="B339" i="3"/>
  <c r="B351" i="3"/>
  <c r="G43" i="3"/>
  <c r="B200" i="3"/>
  <c r="B325" i="3"/>
  <c r="B84" i="3"/>
  <c r="B270" i="3"/>
  <c r="B10" i="3"/>
  <c r="G48" i="3"/>
  <c r="B133" i="3"/>
  <c r="B78" i="3"/>
  <c r="M9" i="3"/>
  <c r="M20" i="3"/>
  <c r="M7" i="3"/>
  <c r="B129" i="3"/>
  <c r="B5" i="3"/>
  <c r="B258" i="3"/>
  <c r="B158" i="3"/>
  <c r="B19" i="3"/>
  <c r="B353" i="3"/>
  <c r="B347" i="3"/>
  <c r="B68" i="3"/>
  <c r="B154" i="3"/>
  <c r="B126" i="3"/>
  <c r="G30" i="3"/>
  <c r="B51" i="3"/>
  <c r="B252" i="3"/>
  <c r="B26" i="3"/>
  <c r="B299" i="3"/>
  <c r="B237" i="3"/>
  <c r="B197" i="3"/>
  <c r="B135" i="3"/>
  <c r="G53" i="3"/>
  <c r="B233" i="3"/>
  <c r="B261" i="3"/>
  <c r="B157" i="3"/>
  <c r="B160" i="3"/>
  <c r="B278" i="3"/>
  <c r="B292" i="3"/>
  <c r="J7" i="3"/>
  <c r="B183" i="3"/>
  <c r="J14" i="3"/>
  <c r="G37" i="3"/>
  <c r="M17" i="3"/>
  <c r="M44" i="3"/>
  <c r="M26" i="3"/>
  <c r="M8" i="3"/>
  <c r="M39" i="3"/>
  <c r="B110" i="3"/>
  <c r="B255" i="3"/>
  <c r="B227" i="3"/>
  <c r="B350" i="3"/>
  <c r="B42" i="3"/>
  <c r="B173" i="3"/>
  <c r="B61" i="3"/>
  <c r="B31" i="3"/>
  <c r="B77" i="3"/>
  <c r="J19" i="3"/>
  <c r="B152" i="3"/>
  <c r="B256" i="3"/>
  <c r="B114" i="3"/>
  <c r="B113" i="3"/>
  <c r="G18" i="3"/>
  <c r="G12" i="3"/>
  <c r="B162" i="3"/>
  <c r="B260" i="3"/>
  <c r="B6" i="3"/>
  <c r="B91" i="3"/>
  <c r="B210" i="3"/>
  <c r="G54" i="3"/>
  <c r="B120" i="3"/>
  <c r="B196" i="3"/>
  <c r="B315" i="3"/>
  <c r="B248" i="3"/>
  <c r="B179" i="3"/>
  <c r="B109" i="3"/>
  <c r="B37" i="3"/>
  <c r="G23" i="3"/>
  <c r="B282" i="3"/>
  <c r="B320" i="3"/>
  <c r="B140" i="3"/>
  <c r="B247" i="3"/>
  <c r="B40" i="3"/>
  <c r="G6" i="3"/>
  <c r="B55" i="3"/>
  <c r="B313" i="3"/>
  <c r="B169" i="3"/>
  <c r="B312" i="3"/>
  <c r="B240" i="3"/>
  <c r="B302" i="3"/>
  <c r="B245" i="3"/>
  <c r="B93" i="3"/>
  <c r="B48" i="3"/>
  <c r="B203" i="3"/>
  <c r="B234" i="3"/>
  <c r="B76" i="3"/>
  <c r="B20" i="3"/>
  <c r="B204" i="3"/>
  <c r="M51" i="3"/>
  <c r="M15" i="3"/>
  <c r="M42" i="3"/>
  <c r="M24" i="3"/>
  <c r="M6" i="3"/>
  <c r="M33" i="3"/>
  <c r="B190" i="3"/>
  <c r="B144" i="3"/>
  <c r="B101" i="3"/>
  <c r="B212" i="3"/>
  <c r="B70" i="3"/>
  <c r="B356" i="3"/>
  <c r="B41" i="3"/>
  <c r="B35" i="3"/>
  <c r="B123" i="3"/>
  <c r="G32" i="3"/>
  <c r="B4" i="3"/>
  <c r="B288" i="3"/>
  <c r="B117" i="3"/>
  <c r="B107" i="3"/>
  <c r="B57" i="3"/>
  <c r="B286" i="3"/>
  <c r="B336" i="3"/>
  <c r="B7" i="3"/>
  <c r="G34" i="3"/>
  <c r="B208" i="3"/>
  <c r="B122" i="3"/>
  <c r="B193" i="3"/>
  <c r="B167" i="3"/>
  <c r="B348" i="3"/>
  <c r="B249" i="3"/>
  <c r="G27" i="3"/>
  <c r="B148" i="3"/>
  <c r="B174" i="3"/>
  <c r="B95" i="3"/>
  <c r="B146" i="3"/>
  <c r="B103" i="3"/>
  <c r="G39" i="3"/>
  <c r="B49" i="3"/>
  <c r="B321" i="3"/>
  <c r="J12" i="3"/>
  <c r="B94" i="3"/>
  <c r="B134" i="3"/>
  <c r="G46" i="3"/>
  <c r="B130" i="3"/>
  <c r="B188" i="3"/>
  <c r="B96" i="3"/>
  <c r="B239" i="3"/>
  <c r="G55" i="3"/>
  <c r="B207" i="3"/>
  <c r="G29" i="3"/>
  <c r="B213" i="3"/>
  <c r="B285" i="3"/>
  <c r="B189" i="3"/>
  <c r="B108" i="3"/>
  <c r="B235" i="3"/>
  <c r="B28" i="3"/>
  <c r="B60" i="3"/>
  <c r="B69" i="3"/>
  <c r="B21" i="3"/>
  <c r="B236" i="3"/>
  <c r="B303" i="3"/>
  <c r="B27" i="3"/>
  <c r="B275" i="3"/>
  <c r="B177" i="3"/>
  <c r="B64" i="3"/>
  <c r="B206" i="3"/>
  <c r="B80" i="3"/>
  <c r="J9" i="3"/>
  <c r="B241" i="3"/>
  <c r="G17" i="3"/>
  <c r="G49" i="3"/>
  <c r="B344" i="3"/>
  <c r="B277" i="3"/>
  <c r="M31" i="3"/>
  <c r="M5" i="3"/>
  <c r="M36" i="3"/>
  <c r="M18" i="3"/>
  <c r="M41" i="3"/>
  <c r="M11" i="3"/>
  <c r="B199" i="3"/>
  <c r="B243" i="3"/>
  <c r="B16" i="3"/>
  <c r="B141" i="3"/>
  <c r="B198" i="3"/>
  <c r="B357" i="3"/>
  <c r="B161" i="3"/>
  <c r="B332" i="3"/>
  <c r="B159" i="3"/>
  <c r="B45" i="3"/>
  <c r="B324" i="3"/>
  <c r="B211" i="3"/>
  <c r="B155" i="3"/>
  <c r="B36" i="3"/>
  <c r="B11" i="3"/>
  <c r="B106" i="3"/>
  <c r="B166" i="3"/>
  <c r="B18" i="3"/>
  <c r="B246" i="3"/>
  <c r="B66" i="3"/>
  <c r="B81" i="3"/>
  <c r="B267" i="3"/>
  <c r="B322" i="3"/>
  <c r="B62" i="3"/>
  <c r="B163" i="3"/>
  <c r="B99" i="3"/>
  <c r="B331" i="3"/>
  <c r="B202" i="3"/>
  <c r="B273" i="3"/>
  <c r="G45" i="3"/>
  <c r="B279" i="3"/>
  <c r="B98" i="3"/>
  <c r="B191" i="3"/>
  <c r="B187" i="3"/>
  <c r="B283" i="3"/>
  <c r="B268" i="3"/>
  <c r="B293" i="3"/>
  <c r="B15" i="3"/>
  <c r="B298" i="3"/>
  <c r="B54" i="3"/>
  <c r="B176" i="3"/>
  <c r="G5" i="3"/>
  <c r="B217" i="3"/>
  <c r="B137" i="3"/>
  <c r="G21" i="3"/>
  <c r="B307" i="3"/>
  <c r="B274" i="3"/>
  <c r="B284" i="3"/>
  <c r="G15" i="3"/>
  <c r="B182" i="3"/>
  <c r="M27" i="3"/>
  <c r="M2" i="3"/>
  <c r="M34" i="3"/>
  <c r="M16" i="3"/>
  <c r="M35" i="3"/>
  <c r="M12" i="3"/>
  <c r="B294" i="3"/>
  <c r="B271" i="3"/>
  <c r="G16" i="3"/>
  <c r="B17" i="3"/>
  <c r="B238" i="3"/>
  <c r="B254" i="3"/>
  <c r="B89" i="3"/>
  <c r="B224" i="3"/>
  <c r="B272" i="3"/>
  <c r="B136" i="3"/>
  <c r="B295" i="3"/>
  <c r="B328" i="3"/>
  <c r="B262" i="3"/>
  <c r="B305" i="3"/>
  <c r="B319" i="3"/>
  <c r="B97" i="3"/>
  <c r="B185" i="3"/>
  <c r="B121" i="3"/>
  <c r="B323" i="3"/>
  <c r="B340" i="3"/>
  <c r="B334" i="3"/>
  <c r="B153" i="3"/>
  <c r="G47" i="3"/>
  <c r="B138" i="3"/>
  <c r="B220" i="3"/>
  <c r="B229" i="3"/>
  <c r="G31" i="3"/>
  <c r="G28" i="3"/>
  <c r="B127" i="3"/>
  <c r="B56" i="3"/>
  <c r="G42" i="3"/>
  <c r="B147" i="3"/>
  <c r="B164" i="3"/>
  <c r="B30" i="3"/>
  <c r="B343" i="3"/>
  <c r="B119" i="3"/>
  <c r="B128" i="3"/>
  <c r="B8" i="3"/>
  <c r="B86" i="3"/>
  <c r="B290" i="3"/>
  <c r="M43" i="3"/>
  <c r="M25" i="3"/>
  <c r="M13" i="3"/>
  <c r="M50" i="3"/>
  <c r="M40" i="3"/>
  <c r="M32" i="3"/>
  <c r="M22" i="3"/>
  <c r="M14" i="3"/>
  <c r="M4" i="3"/>
  <c r="M23" i="3"/>
  <c r="M29" i="3"/>
  <c r="B53" i="3"/>
  <c r="B308" i="3"/>
  <c r="B317" i="3"/>
  <c r="B38" i="3"/>
  <c r="B14" i="3"/>
  <c r="B85" i="3"/>
  <c r="B139" i="3"/>
  <c r="B58" i="3"/>
  <c r="B125" i="3"/>
  <c r="B151" i="3"/>
  <c r="G3" i="3"/>
  <c r="G40" i="3"/>
  <c r="B216" i="3"/>
  <c r="B71" i="3"/>
  <c r="B186" i="3"/>
  <c r="B310" i="3"/>
  <c r="B242" i="3"/>
  <c r="B214" i="3"/>
  <c r="G13" i="3"/>
  <c r="B304" i="3"/>
  <c r="B132" i="3"/>
  <c r="B338" i="3"/>
  <c r="B92" i="3"/>
  <c r="B170" i="3"/>
  <c r="B335" i="3"/>
  <c r="J29" i="3"/>
  <c r="B201" i="3"/>
  <c r="B184" i="3"/>
  <c r="B118" i="3"/>
  <c r="B232" i="3"/>
  <c r="B223" i="3"/>
  <c r="B145" i="3"/>
  <c r="B39" i="3"/>
  <c r="B79" i="3"/>
  <c r="G8" i="3"/>
  <c r="B219" i="3"/>
  <c r="B34" i="3"/>
  <c r="B300" i="3"/>
  <c r="B333" i="3"/>
  <c r="J30" i="3"/>
  <c r="G33" i="3"/>
  <c r="B3" i="3"/>
  <c r="B100" i="3"/>
  <c r="B218" i="3"/>
  <c r="B47" i="3"/>
  <c r="G14" i="3"/>
  <c r="B194" i="3"/>
  <c r="G7" i="3"/>
  <c r="B72" i="3"/>
  <c r="G57" i="3"/>
  <c r="B346" i="3"/>
  <c r="G26" i="3"/>
  <c r="B111" i="3"/>
  <c r="G50" i="3"/>
  <c r="B172" i="3"/>
  <c r="B9" i="3"/>
  <c r="B352" i="3"/>
  <c r="B354" i="3"/>
  <c r="B327" i="3"/>
  <c r="B226" i="3"/>
  <c r="B316" i="3"/>
  <c r="B75" i="3"/>
  <c r="B192" i="3"/>
  <c r="B168" i="3"/>
  <c r="B209" i="3"/>
  <c r="G41" i="3"/>
  <c r="B82" i="3"/>
  <c r="B215" i="3"/>
  <c r="G10" i="3"/>
  <c r="B342" i="3"/>
  <c r="B115" i="3"/>
  <c r="J27" i="3"/>
  <c r="B355" i="3"/>
  <c r="B222" i="3"/>
  <c r="B301" i="3"/>
  <c r="B276" i="3"/>
  <c r="B50" i="3"/>
  <c r="B24" i="3"/>
  <c r="B221" i="3"/>
  <c r="B149" i="3"/>
  <c r="B156" i="3"/>
  <c r="B257" i="3"/>
  <c r="B266" i="3"/>
  <c r="B253" i="3"/>
  <c r="B341" i="3"/>
  <c r="B32" i="3"/>
  <c r="B329" i="3"/>
  <c r="B43" i="3"/>
  <c r="G44" i="3"/>
  <c r="B178" i="3"/>
  <c r="B311" i="3"/>
  <c r="B309" i="3"/>
  <c r="B297" i="3"/>
  <c r="G19" i="3"/>
  <c r="B244" i="3"/>
  <c r="B225" i="3"/>
  <c r="B104" i="3"/>
  <c r="B63" i="3"/>
  <c r="B88" i="3"/>
  <c r="B280" i="3"/>
  <c r="B251" i="3"/>
  <c r="B23" i="3"/>
  <c r="B265" i="3"/>
  <c r="G58" i="3"/>
  <c r="H3" i="6" a="1"/>
  <c r="H5" i="6" a="1"/>
  <c r="I7" i="6" a="1"/>
  <c r="I3" i="6" a="1"/>
  <c r="I5" i="6" a="1"/>
  <c r="H7" i="6" a="1"/>
  <c r="I6" i="6" a="1"/>
  <c r="H6" i="6" a="1"/>
  <c r="H4" i="6" a="1"/>
  <c r="I4" i="6" a="1"/>
  <c r="H7" i="6" l="1"/>
  <c r="I7" i="6"/>
  <c r="I4" i="6"/>
  <c r="H4" i="6"/>
  <c r="I5" i="6"/>
  <c r="H5" i="6"/>
  <c r="I6" i="6"/>
  <c r="H6" i="6"/>
  <c r="I3" i="6"/>
  <c r="H3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<sst xmlns="http://schemas.openxmlformats.org/spreadsheetml/2006/main" count="1792" uniqueCount="582">
  <si>
    <t>Daily Wages</t>
  </si>
  <si>
    <t>Indirect Operation Cash out</t>
  </si>
  <si>
    <t>Concrete</t>
  </si>
  <si>
    <t>Operation Cash Out</t>
  </si>
  <si>
    <t>Fleet</t>
  </si>
  <si>
    <t>Subcontractors Daily Wages</t>
  </si>
  <si>
    <t>Petty Cash</t>
  </si>
  <si>
    <t>(Taxes +Insurance+OH+Profit) 12%</t>
  </si>
  <si>
    <t>Finance Overheads</t>
  </si>
  <si>
    <t>Guard</t>
  </si>
  <si>
    <t>Supply &amp; Apply</t>
  </si>
  <si>
    <t>Salaries</t>
  </si>
  <si>
    <t>Mobile</t>
  </si>
  <si>
    <t>Purchasing (Current Accounts)</t>
  </si>
  <si>
    <t>Overheads</t>
  </si>
  <si>
    <t>Head office Overheads</t>
  </si>
  <si>
    <t>Accommodation</t>
  </si>
  <si>
    <t>Consultancy</t>
  </si>
  <si>
    <t>Equipment</t>
  </si>
  <si>
    <t>Pos &amp; Delivery Payments</t>
  </si>
  <si>
    <t>Procurment (AP )</t>
  </si>
  <si>
    <t>Steel</t>
  </si>
  <si>
    <t>Heavy Equipment</t>
  </si>
  <si>
    <t>Wood</t>
  </si>
  <si>
    <t>Apply Only</t>
  </si>
  <si>
    <t>Scaffolding</t>
  </si>
  <si>
    <t>Supply Only</t>
  </si>
  <si>
    <t>Earthwork</t>
  </si>
  <si>
    <t>General</t>
  </si>
  <si>
    <t>Our</t>
  </si>
  <si>
    <t>Grand Total</t>
  </si>
  <si>
    <t>Current Accounts</t>
  </si>
  <si>
    <t>Indirect Daily Wages</t>
  </si>
  <si>
    <t>Fleet (Transportation)</t>
  </si>
  <si>
    <t>Postponed</t>
  </si>
  <si>
    <t>Input Here</t>
  </si>
  <si>
    <t>Categorization</t>
  </si>
  <si>
    <t>Advance payment</t>
  </si>
  <si>
    <t>Steel RFT</t>
  </si>
  <si>
    <t>Rented Equipment</t>
  </si>
  <si>
    <t>Other indirect</t>
  </si>
  <si>
    <t xml:space="preserve">Consultancy Service </t>
  </si>
  <si>
    <t>Project Oricale</t>
  </si>
  <si>
    <t>Cost Center</t>
  </si>
  <si>
    <t>Serial</t>
  </si>
  <si>
    <t>Project Name Control</t>
  </si>
  <si>
    <t>Sector Name</t>
  </si>
  <si>
    <t>Project MANAGER</t>
  </si>
  <si>
    <t>ESPIKO Bridge L&amp;L  0116</t>
  </si>
  <si>
    <t>-</t>
  </si>
  <si>
    <t>ESPIKO Bridge L&amp;L</t>
  </si>
  <si>
    <t/>
  </si>
  <si>
    <t>Adham Edward</t>
  </si>
  <si>
    <t>El Moshier ( Abu Zaid Khedr)  0105</t>
  </si>
  <si>
    <t xml:space="preserve">El Moshier ( Abu Zaid Khedr)  </t>
  </si>
  <si>
    <t>kayan wall lock &amp; Load  0068</t>
  </si>
  <si>
    <t>Kyan lock&amp; load</t>
  </si>
  <si>
    <t>AL-JAZI EGYPT  0081</t>
  </si>
  <si>
    <t>Al Jazi Mall</t>
  </si>
  <si>
    <t>Other</t>
  </si>
  <si>
    <t>Asmarat Roads L&amp;L  0162</t>
  </si>
  <si>
    <t>Asmarat Roads L&amp;L</t>
  </si>
  <si>
    <t>Astoria Sharm elSheikh  0182</t>
  </si>
  <si>
    <t>Astoria Sharm elSheikh</t>
  </si>
  <si>
    <t>BKG#178-Lagoon Discharge  0142</t>
  </si>
  <si>
    <t>Marassi PKG #178</t>
  </si>
  <si>
    <t>Mohamed Fawzy</t>
  </si>
  <si>
    <t>Beymen Fit Out  0181</t>
  </si>
  <si>
    <t>Beymen Fit Out</t>
  </si>
  <si>
    <t>CFC Podium 2  0113</t>
  </si>
  <si>
    <t>CFC Poduim 2</t>
  </si>
  <si>
    <t>CIP SODIC HEAD OFFICE  CIP SODIC HEAD OFFICE</t>
  </si>
  <si>
    <t>ICE</t>
  </si>
  <si>
    <t>CIP SODIC HEAD OFFICE</t>
  </si>
  <si>
    <t>DPW Onshore Port &amp; Terminal  0094</t>
  </si>
  <si>
    <t>DP World Sokhna</t>
  </si>
  <si>
    <t>Mohamed El Saman</t>
  </si>
  <si>
    <t>EDNC Hardscape Package  0171</t>
  </si>
  <si>
    <t xml:space="preserve">EDNC Landscape </t>
  </si>
  <si>
    <t>EDNC Retail &amp; Offices Civil  0092</t>
  </si>
  <si>
    <t>Sodic East - EDNC</t>
  </si>
  <si>
    <t>EGAT Lock &amp; Load  0173</t>
  </si>
  <si>
    <t>EgAt Load &amp; Load</t>
  </si>
  <si>
    <t>EGAT Pelletizing Plant  0144</t>
  </si>
  <si>
    <t>Rolling Mill Eleco Steel Egat Ph02</t>
  </si>
  <si>
    <t>ELCO STEEL-EGAT  0102</t>
  </si>
  <si>
    <t>ELCO STEEL-EGAT</t>
  </si>
  <si>
    <t>EMAAR- Pkg 140-ITP-Mivida  0098</t>
  </si>
  <si>
    <t>Mivida PKG #140</t>
  </si>
  <si>
    <t>EMAAR-Pkg#162/163- Marassi  0123</t>
  </si>
  <si>
    <t>Marassi PKG #162,#163 &amp;#177 (Marina)</t>
  </si>
  <si>
    <t>EPICO 3 Facility  0187</t>
  </si>
  <si>
    <t>EPICO 3 Facility</t>
  </si>
  <si>
    <t>EPICO</t>
  </si>
  <si>
    <t>Egat Rolling Mill no.4  0172</t>
  </si>
  <si>
    <t>Rolling Mill#4</t>
  </si>
  <si>
    <t>ElSewedy HQ Internal Finishing  0141</t>
  </si>
  <si>
    <t>ElSewedy HQ Internal Finishing</t>
  </si>
  <si>
    <t>Elsewedy Univ - Enabling Works  0085</t>
  </si>
  <si>
    <t>Elswedy University Phase1</t>
  </si>
  <si>
    <t>IKEA Extension MoA  0112</t>
  </si>
  <si>
    <t>IKEA Retail</t>
  </si>
  <si>
    <t>Jawhar Al-Lala Mosque  0179</t>
  </si>
  <si>
    <t>Jawhar al-lala Mosque</t>
  </si>
  <si>
    <t>Mariam youssef</t>
  </si>
  <si>
    <t>Kattameya Creeks  0138</t>
  </si>
  <si>
    <t>Creek</t>
  </si>
  <si>
    <t>Osama Mezayn</t>
  </si>
  <si>
    <t>L&amp;L El-Awsaty Tunnel  0186</t>
  </si>
  <si>
    <t>L&amp;L El-Awsaty Tunnel</t>
  </si>
  <si>
    <t>MDF Factory  0147</t>
  </si>
  <si>
    <t>MDF</t>
  </si>
  <si>
    <t>Mivida BP#189  0170</t>
  </si>
  <si>
    <t>Mivida BP#189</t>
  </si>
  <si>
    <t>Mivida</t>
  </si>
  <si>
    <t>New Giza Teaching Hospital  0126</t>
  </si>
  <si>
    <t>New Giza Hospital</t>
  </si>
  <si>
    <t>NGUH</t>
  </si>
  <si>
    <t>ORA ZED - Ph 01B - Pkgs A&amp;D  0137</t>
  </si>
  <si>
    <t>ORA Zed PKGs A &amp; D</t>
  </si>
  <si>
    <t>ORA PH1</t>
  </si>
  <si>
    <t>ORA ZED-Ph 2-Pkgs A&amp;D  0151</t>
  </si>
  <si>
    <t>ORA ZED-Ph 2-Pkgs A&amp;D</t>
  </si>
  <si>
    <t>ORA PH2</t>
  </si>
  <si>
    <t>October Under-Railway Tunnel  0175</t>
  </si>
  <si>
    <t>October Under-Railway Tunnel</t>
  </si>
  <si>
    <t>6th October Under-Railway Tunnel</t>
  </si>
  <si>
    <t>Mohamed Abdelfath</t>
  </si>
  <si>
    <t>Olympic City Lock&amp;Load  0148</t>
  </si>
  <si>
    <t>Olympic City Lock&amp;Load</t>
  </si>
  <si>
    <t>Ora Zed Landscape Ph1  0185</t>
  </si>
  <si>
    <t>Ora Zed Landscape Ph1</t>
  </si>
  <si>
    <t>Landscape</t>
  </si>
  <si>
    <t>Port Said Port Silos  0159</t>
  </si>
  <si>
    <t>Port Said Port Silos</t>
  </si>
  <si>
    <t>Silos</t>
  </si>
  <si>
    <t>R06 Loack &amp; Load  0155</t>
  </si>
  <si>
    <t>R06 Loack &amp; Load</t>
  </si>
  <si>
    <t>Radamis City  0176</t>
  </si>
  <si>
    <t>Radamis City</t>
  </si>
  <si>
    <t xml:space="preserve"> Radamis City</t>
  </si>
  <si>
    <t>Royal City  0063</t>
  </si>
  <si>
    <t>Royal City Mall</t>
  </si>
  <si>
    <t>Sodic Club House  0032</t>
  </si>
  <si>
    <t>Sodic Club House</t>
  </si>
  <si>
    <t>Sokhna Port Expansion  0145</t>
  </si>
  <si>
    <t xml:space="preserve">Port of Sokhna </t>
  </si>
  <si>
    <t>SPX</t>
  </si>
  <si>
    <t>Suez Steel Intake &amp; P Stations</t>
  </si>
  <si>
    <t>Wadi Halfa Port  0183</t>
  </si>
  <si>
    <t>Wadi Halfa Port</t>
  </si>
  <si>
    <t>Waldorf Astoria Cairo  0164</t>
  </si>
  <si>
    <t>Waldorf Astoria Cairo</t>
  </si>
  <si>
    <t>Waldorf Astoria Mock-up Room  0146</t>
  </si>
  <si>
    <t>Waldorf Astoria Mock-up Room</t>
  </si>
  <si>
    <t>Waslet Om Amar Bridge  0156</t>
  </si>
  <si>
    <t>Waslet Om Amar Bridge</t>
  </si>
  <si>
    <t>SODIC Allegria Villa f100  0177</t>
  </si>
  <si>
    <t>SODIC Allegria Villa f100</t>
  </si>
  <si>
    <t>Air Defense College  0150</t>
  </si>
  <si>
    <t>Air Defense College</t>
  </si>
  <si>
    <t>Air Defence</t>
  </si>
  <si>
    <t>Adel Rahmo</t>
  </si>
  <si>
    <t>Asher Mn Ramadan Bridge No2  0129</t>
  </si>
  <si>
    <t>10th Ramadan Bridge</t>
  </si>
  <si>
    <t>Hussin Bahgat</t>
  </si>
  <si>
    <t>BridgeNasr Rd w Abbas El-Akkad  0128</t>
  </si>
  <si>
    <t>Abass Akad</t>
  </si>
  <si>
    <t>Cairo-Alex Railway  0134</t>
  </si>
  <si>
    <t>Re-newal Cairo -Alex Rail way</t>
  </si>
  <si>
    <t>Aly Tawfik</t>
  </si>
  <si>
    <t>Diplomatic District - Infra  0140</t>
  </si>
  <si>
    <t>Diplomatic</t>
  </si>
  <si>
    <t>Diplomatic District</t>
  </si>
  <si>
    <t>EL-Hegaz Square Bridge  0121</t>
  </si>
  <si>
    <t>El-Hegaz Square</t>
  </si>
  <si>
    <t>El- Hegaz Bridge</t>
  </si>
  <si>
    <t>El Khatatba Bridge  0143</t>
  </si>
  <si>
    <t>Al khattatba Bridge</t>
  </si>
  <si>
    <t>El- Khatatba Bridge</t>
  </si>
  <si>
    <t>Faculty of Medicine  0139</t>
  </si>
  <si>
    <t>Faculty of Medicine - Mansoura University</t>
  </si>
  <si>
    <t>NMU</t>
  </si>
  <si>
    <t>Fish Market  0080</t>
  </si>
  <si>
    <t>Fish Market</t>
  </si>
  <si>
    <t>GOV2 - Infra  0133</t>
  </si>
  <si>
    <t>GOV2-Infra</t>
  </si>
  <si>
    <t>Gov 2 - Infra</t>
  </si>
  <si>
    <t>Hassan El Mamoun Bridge  0135</t>
  </si>
  <si>
    <t>Hassan El Mamoun Bridge</t>
  </si>
  <si>
    <t>Hyper El-Temsah  0070</t>
  </si>
  <si>
    <t>hyper el-temsah</t>
  </si>
  <si>
    <t>Kafr Shokr Bridge  0130</t>
  </si>
  <si>
    <t>Kafer Shoukr Bridge</t>
  </si>
  <si>
    <t>Kafr Shokr Bridge</t>
  </si>
  <si>
    <t>Kemet Building  0149</t>
  </si>
  <si>
    <t>KEMET</t>
  </si>
  <si>
    <t>Mohamed El Ashry</t>
  </si>
  <si>
    <t>Ministries Buildings  0060</t>
  </si>
  <si>
    <t xml:space="preserve">Ministry Building </t>
  </si>
  <si>
    <t>Ministries</t>
  </si>
  <si>
    <t>Mohamed Ali Palace Restoration  0078</t>
  </si>
  <si>
    <t>Mohamed Ali Palace</t>
  </si>
  <si>
    <t>NUCA R05 - Z02  0088</t>
  </si>
  <si>
    <t>R05 District</t>
  </si>
  <si>
    <t>R05</t>
  </si>
  <si>
    <t>Olympic Multi – Sports Hall  0099</t>
  </si>
  <si>
    <t>Olympic Multi-Sports Hall</t>
  </si>
  <si>
    <t>Main Sport Hall</t>
  </si>
  <si>
    <t>RING ROAD MARYOTIA EXPANSION  0122</t>
  </si>
  <si>
    <t>Ring Road Bridge</t>
  </si>
  <si>
    <t>Ring Road (El- Maryotia)</t>
  </si>
  <si>
    <t>Sultana Malak Restoration  0124</t>
  </si>
  <si>
    <t>Sultana Malak</t>
  </si>
  <si>
    <t>The Open Channel Project  0160</t>
  </si>
  <si>
    <t>The Open Channel Project</t>
  </si>
  <si>
    <t>Open Channel</t>
  </si>
  <si>
    <t>Abou Ghaleb Bridge  0157</t>
  </si>
  <si>
    <t>Abou Ghaleb Bridge</t>
  </si>
  <si>
    <t>Abo Ghaleb Bridge</t>
  </si>
  <si>
    <t>Alamein Coastal Road Bridge  0166</t>
  </si>
  <si>
    <t>Alamein Coastal Road Bridge</t>
  </si>
  <si>
    <t>El- Alamein Costal Road Bridge</t>
  </si>
  <si>
    <t>Egyptian Exchange Building  0158</t>
  </si>
  <si>
    <t>Egyptian Exchange Building</t>
  </si>
  <si>
    <t>Exchange Building</t>
  </si>
  <si>
    <t>El- Hussein Mosque  0178</t>
  </si>
  <si>
    <t>El-Hussein Mosque</t>
  </si>
  <si>
    <t>HST Bridges-Sokhna &amp; Mahager  0152</t>
  </si>
  <si>
    <t>Sokhna Bridges</t>
  </si>
  <si>
    <t>HST /El- Sokhna Bridge</t>
  </si>
  <si>
    <t>HST Culverts  0169</t>
  </si>
  <si>
    <t>Sokhna Culverts</t>
  </si>
  <si>
    <t>HST Culverts</t>
  </si>
  <si>
    <t>HST El Mahager Bridge  0168</t>
  </si>
  <si>
    <t>HST El Mahager Bridge</t>
  </si>
  <si>
    <t>HST /El- Mahager</t>
  </si>
  <si>
    <t>October Dry Port Railway  0153</t>
  </si>
  <si>
    <t>October Dry Port</t>
  </si>
  <si>
    <t>Qani bay Al rammah Mosque  0174</t>
  </si>
  <si>
    <t>Qani bay Al rammah Mosque</t>
  </si>
  <si>
    <t>Wady El Natroon Bridge  0167</t>
  </si>
  <si>
    <t>Wady El Natroon Bridge</t>
  </si>
  <si>
    <t>HST /Wadi El- Natron - Diplomatic</t>
  </si>
  <si>
    <t>Egypt Mosque  8013</t>
  </si>
  <si>
    <t>Egypt Mosque</t>
  </si>
  <si>
    <t>Ring Road - El Qawmiya  0188</t>
  </si>
  <si>
    <t>Ring Road - El Qawmiya</t>
  </si>
  <si>
    <t>Ring road Kawmia</t>
  </si>
  <si>
    <t>Alfa New Central Labs  0154</t>
  </si>
  <si>
    <t>Alfa New Central Labs</t>
  </si>
  <si>
    <t>EMAAR-PKG# 144, Marassi  0093</t>
  </si>
  <si>
    <t>PKG#144,  Marassi</t>
  </si>
  <si>
    <t>ESU Ph2-Enabling &amp; Struc  0119</t>
  </si>
  <si>
    <t>Elswedy University Phase2</t>
  </si>
  <si>
    <t>Endowments Building  0180</t>
  </si>
  <si>
    <t>Endowments Building</t>
  </si>
  <si>
    <t>HyperOne Zayed Extension  0111</t>
  </si>
  <si>
    <t>Hyper One Parking</t>
  </si>
  <si>
    <t>Lekela 250MW Wind Farm  0125</t>
  </si>
  <si>
    <t>LEKELA Wind Farm</t>
  </si>
  <si>
    <t>Ras El Teen Hangar  0161</t>
  </si>
  <si>
    <t>Ras El Teen Hangar</t>
  </si>
  <si>
    <t>Siemens Power Station  0072</t>
  </si>
  <si>
    <t>Siemens Power Station</t>
  </si>
  <si>
    <t>Suez Steel Factory  0069</t>
  </si>
  <si>
    <t>Rolling Mill +EGAT</t>
  </si>
  <si>
    <t>Alamein  0084</t>
  </si>
  <si>
    <t>Alamain</t>
  </si>
  <si>
    <t>Kayan Landscape  0127</t>
  </si>
  <si>
    <t>Kayan Lanscape</t>
  </si>
  <si>
    <t>King Mariout  Bridge'  0165</t>
  </si>
  <si>
    <t>King Mariout  Bridge’</t>
  </si>
  <si>
    <t>DP World Basin 2 Ph2  0193</t>
  </si>
  <si>
    <t>DP World Basin 2 Ph2</t>
  </si>
  <si>
    <t>DP World</t>
  </si>
  <si>
    <t>Seashell Playa 5 Villas  0194</t>
  </si>
  <si>
    <t>Seashell Playa 5 Villas</t>
  </si>
  <si>
    <t>JV</t>
  </si>
  <si>
    <t>Lock&amp;Load-30June w Sokhna Rd  0086</t>
  </si>
  <si>
    <t>Lock&amp;Load-30June w Sokhna Rd</t>
  </si>
  <si>
    <t>EMAAR-PKG# 101-UPTOWN  0095</t>
  </si>
  <si>
    <t>PKG#101</t>
  </si>
  <si>
    <t>TSK Solar Benban  0083</t>
  </si>
  <si>
    <t xml:space="preserve">TSK Solar Benban  </t>
  </si>
  <si>
    <t>Darb Allabana Bldgs Ph1  0191</t>
  </si>
  <si>
    <t>Darb Allabana Bldgs Ph1</t>
  </si>
  <si>
    <t>Tunnel of Sokhna Road (2)  0090</t>
  </si>
  <si>
    <t>Tunnel of Sokhna Road (2)</t>
  </si>
  <si>
    <t>Ring Road - Service Road  0189</t>
  </si>
  <si>
    <t>Ring Road - Service Road</t>
  </si>
  <si>
    <t>Ring Road (Service Road)</t>
  </si>
  <si>
    <t>Abo Shanab El Agamien  0195</t>
  </si>
  <si>
    <t>Abo Shanab El Agamien</t>
  </si>
  <si>
    <t>MAF HQ Renovation  0196</t>
  </si>
  <si>
    <t>Carrefour Head office Renovation</t>
  </si>
  <si>
    <t>Mehwar elsalam Lock &amp; Load  0120</t>
  </si>
  <si>
    <t>Mehwer el Salam  L&amp;L</t>
  </si>
  <si>
    <t>El Sewedy Stores Project  0065</t>
  </si>
  <si>
    <t>PI Park (SLP)</t>
  </si>
  <si>
    <t>Tarek AbdelHakim Center  0197</t>
  </si>
  <si>
    <t>Tarek AbdelHakim Center</t>
  </si>
  <si>
    <t>DoubleTree Mangroovy ElGouna  0107</t>
  </si>
  <si>
    <t>Duoble Tree Hilton</t>
  </si>
  <si>
    <t>EMAAR-PKG117- MARASSI  0071</t>
  </si>
  <si>
    <t>Pkg 117</t>
  </si>
  <si>
    <t>Al Mostathmreen GIS Substation  0040</t>
  </si>
  <si>
    <t xml:space="preserve">Al Mostathmreen GIS Substation  </t>
  </si>
  <si>
    <t>Beni Suef Substation R61  0061</t>
  </si>
  <si>
    <t>French Fund Substations (Bani-swif)</t>
  </si>
  <si>
    <t>Ismailiya East Substation  0052</t>
  </si>
  <si>
    <t xml:space="preserve">Ismalia Substation  </t>
  </si>
  <si>
    <t>Creeks URBN-K  0192</t>
  </si>
  <si>
    <t>Creeks URBN-K</t>
  </si>
  <si>
    <t>Urban K</t>
  </si>
  <si>
    <t>EGAT Mechanical Installations  0198</t>
  </si>
  <si>
    <t>EGAT Mechanical Installations</t>
  </si>
  <si>
    <t>Tamey El-amdeed Substation  0051</t>
  </si>
  <si>
    <t xml:space="preserve">Tamay Elamdeed Substation </t>
  </si>
  <si>
    <t>New Giza 2  NGZA/UNVI/1369</t>
  </si>
  <si>
    <t>New Giza II</t>
  </si>
  <si>
    <t>Bani Suef Old Substation  Bani Suef</t>
  </si>
  <si>
    <t>uef</t>
  </si>
  <si>
    <t>French Fund Substations (Bani-Swif)</t>
  </si>
  <si>
    <t>Kayan 3 New Cairo Capital City  ARMY/KYAN/1446</t>
  </si>
  <si>
    <t>Pyramid tunnel  0101</t>
  </si>
  <si>
    <t xml:space="preserve">Pyramid Tunnel </t>
  </si>
  <si>
    <t>Our Categorization</t>
  </si>
  <si>
    <t>Mohamed Abd Moktader</t>
  </si>
  <si>
    <t>Other Bridges</t>
  </si>
  <si>
    <t>Hotels</t>
  </si>
  <si>
    <t>MDF Factory</t>
  </si>
  <si>
    <t>Ministries Complex</t>
  </si>
  <si>
    <t>Mivida Pkg 189 Admin Offices Park</t>
  </si>
  <si>
    <t>Faculty of Medicine</t>
  </si>
  <si>
    <t>EGAT L &amp; L</t>
  </si>
  <si>
    <t>EGAT Pelletizing Plant</t>
  </si>
  <si>
    <t>Pkg162 ,163,177Marina Inland Marassi</t>
  </si>
  <si>
    <t>ORA ZED - Ph 01B - Pkgs A&amp;D</t>
  </si>
  <si>
    <t>Sokhna Port Expansion</t>
  </si>
  <si>
    <t>Cairo-Alex Railway</t>
  </si>
  <si>
    <t xml:space="preserve">R05 </t>
  </si>
  <si>
    <t>Olympic Multi – Sports Hall</t>
  </si>
  <si>
    <t>Kayan</t>
  </si>
  <si>
    <t>Kattameya Creeks</t>
  </si>
  <si>
    <t>New Giza Teaching Hospital</t>
  </si>
  <si>
    <t>Egat Rolling Mill no.4</t>
  </si>
  <si>
    <t>Carrfour Hayper market</t>
  </si>
  <si>
    <t>GOV2 - Infra</t>
  </si>
  <si>
    <t>Egat Mechanical Installation</t>
  </si>
  <si>
    <t>El Khatatba Bridge</t>
  </si>
  <si>
    <t>HST Bridges-Sokhna</t>
  </si>
  <si>
    <t xml:space="preserve">Suez Steel Intake &amp; P Stations </t>
  </si>
  <si>
    <t>Marassi PKG #205</t>
  </si>
  <si>
    <t>Abou Shanb</t>
  </si>
  <si>
    <t>Urban k</t>
  </si>
  <si>
    <t>PKG#220</t>
  </si>
  <si>
    <t>Unnammed Project</t>
  </si>
  <si>
    <t>Sokhna port expansion</t>
  </si>
  <si>
    <t>DPW2</t>
  </si>
  <si>
    <t>EGAT Project</t>
  </si>
  <si>
    <t xml:space="preserve">Wadi Halfa </t>
  </si>
  <si>
    <t>Urban-K</t>
  </si>
  <si>
    <t>ORA Landscape</t>
  </si>
  <si>
    <t>MIVIDA</t>
  </si>
  <si>
    <t>Ministry</t>
  </si>
  <si>
    <t xml:space="preserve">Exchange </t>
  </si>
  <si>
    <t>MSH</t>
  </si>
  <si>
    <t>ADC</t>
  </si>
  <si>
    <t>Waldorf Astoria</t>
  </si>
  <si>
    <t>Radamis</t>
  </si>
  <si>
    <t>Marrasi Pkg 162, 163, 177</t>
  </si>
  <si>
    <t>Bridges</t>
  </si>
  <si>
    <t>Railway</t>
  </si>
  <si>
    <t>October Dry Port Railway</t>
  </si>
  <si>
    <t>Pkg205</t>
  </si>
  <si>
    <t>Ring Road Mariotia Expantion</t>
  </si>
  <si>
    <t>Shut Down</t>
  </si>
  <si>
    <t>Unnamed Project</t>
  </si>
  <si>
    <t>Missing CS</t>
  </si>
  <si>
    <t>Project Name</t>
  </si>
  <si>
    <t>Our Name</t>
  </si>
  <si>
    <t>MDF FACTORY</t>
  </si>
  <si>
    <t>البرابخ - HST CUlVERTS</t>
  </si>
  <si>
    <t>PKG#189</t>
  </si>
  <si>
    <t>جامعة المنصورة</t>
  </si>
  <si>
    <t>نفق اكتوبر</t>
  </si>
  <si>
    <t>Borsa</t>
  </si>
  <si>
    <t xml:space="preserve">Project : EGAT Lock &amp; Load </t>
  </si>
  <si>
    <t xml:space="preserve">Project : EGAT Pelletizing Plant </t>
  </si>
  <si>
    <t xml:space="preserve">Project : EMAAR-Pkg#162/163- Marassi </t>
  </si>
  <si>
    <t xml:space="preserve">Project : ElSewedy HQ Internal Finishing </t>
  </si>
  <si>
    <t xml:space="preserve">Project : ORA ZED - Ph 01B - Pkgs A&amp;D </t>
  </si>
  <si>
    <t xml:space="preserve">Project : ORA ZED-Ph 2-Pkgs A&amp;D </t>
  </si>
  <si>
    <t xml:space="preserve">Project : Port Said Port Silos </t>
  </si>
  <si>
    <t xml:space="preserve">Project : Radamis City </t>
  </si>
  <si>
    <t xml:space="preserve">Project : SSC Suez Steel Company Project </t>
  </si>
  <si>
    <t xml:space="preserve">Project : Sokhna Port Expansion </t>
  </si>
  <si>
    <t xml:space="preserve">Project : Cairo-Alex Railway </t>
  </si>
  <si>
    <t xml:space="preserve">Project : Faculty of Medicine </t>
  </si>
  <si>
    <t xml:space="preserve">Project : Ministries Buildings </t>
  </si>
  <si>
    <t xml:space="preserve">Project : NUCA R05 - Z02 </t>
  </si>
  <si>
    <t>الصالة المغطاه-تشطيبات</t>
  </si>
  <si>
    <t>EDECS</t>
  </si>
  <si>
    <t>الدفاع الجوى</t>
  </si>
  <si>
    <t>الصالة المغطاة - كهروميكانيكا</t>
  </si>
  <si>
    <t xml:space="preserve">الصالة المغطاة - الاعمال الصحية </t>
  </si>
  <si>
    <t>القطامية جريك</t>
  </si>
  <si>
    <t>ORA ZED BARK 2</t>
  </si>
  <si>
    <t>ORA ZED BARK</t>
  </si>
  <si>
    <t>مستشفى نيوجيزة</t>
  </si>
  <si>
    <t>سوريل</t>
  </si>
  <si>
    <t>PKG#163</t>
  </si>
  <si>
    <t>سوريل لاندسكيب</t>
  </si>
  <si>
    <t>الترعة الخرسانية</t>
  </si>
  <si>
    <t>Rolling mill</t>
  </si>
  <si>
    <t>صوامع بورسعيد</t>
  </si>
  <si>
    <t xml:space="preserve">EIPICO 3 </t>
  </si>
  <si>
    <t>السويدى HQ</t>
  </si>
  <si>
    <t>الصالة المغطاة</t>
  </si>
  <si>
    <t>حى الوزارات</t>
  </si>
  <si>
    <t>العلمين</t>
  </si>
  <si>
    <t>البورصة</t>
  </si>
  <si>
    <t xml:space="preserve">Carrefour fitout </t>
  </si>
  <si>
    <t>Carrefour head office</t>
  </si>
  <si>
    <t>توسعة ميناء السخنة</t>
  </si>
  <si>
    <t>الكيان</t>
  </si>
  <si>
    <t>تطوير مبنى العاصمة الادارية</t>
  </si>
  <si>
    <t>GOV2</t>
  </si>
  <si>
    <t>كيان</t>
  </si>
  <si>
    <t>LEKELA</t>
  </si>
  <si>
    <t>مصنع ايجات</t>
  </si>
  <si>
    <t xml:space="preserve">موانى دبى مرحلة تانية </t>
  </si>
  <si>
    <t>Mechanical installation</t>
  </si>
  <si>
    <t>وادى حلفا السودان</t>
  </si>
  <si>
    <t>dp world</t>
  </si>
  <si>
    <t>جامعة المنصورة تشطيبات</t>
  </si>
  <si>
    <t xml:space="preserve">كوبرى وادى النطرون </t>
  </si>
  <si>
    <t>كوبرى المحاجر</t>
  </si>
  <si>
    <t>فندق راداميس</t>
  </si>
  <si>
    <t>السلطانة ملك</t>
  </si>
  <si>
    <t>PKG#177</t>
  </si>
  <si>
    <t>كوبرى الخطاطبة</t>
  </si>
  <si>
    <t>كوبرى السخنة 4.5 ك</t>
  </si>
  <si>
    <t>كوبرى ابوغالب</t>
  </si>
  <si>
    <t>Suez Intake &amp; P Stations supply -ABB</t>
  </si>
  <si>
    <t>Suez Intake &amp; P Stations supply -SSC</t>
  </si>
  <si>
    <t>suez steel- R.O.  ( SUPPLY)</t>
  </si>
  <si>
    <t>Suez intake&amp; p stations apply ABB</t>
  </si>
  <si>
    <t>Suez intake&amp; p stations apply SSC</t>
  </si>
  <si>
    <t>ORA LANDSCAPE</t>
  </si>
  <si>
    <t>توسعة ميناء السخنة 2</t>
  </si>
  <si>
    <t>Seashell playa- اعمال تشطيبات</t>
  </si>
  <si>
    <t>Seashell playa-اعمال بياض و تخشيب</t>
  </si>
  <si>
    <t>Seashell playa</t>
  </si>
  <si>
    <t>دائرى المرج</t>
  </si>
  <si>
    <t>طريق الساحلى</t>
  </si>
  <si>
    <t>دائرى المريوطية</t>
  </si>
  <si>
    <t>نفق الاسمرات</t>
  </si>
  <si>
    <t>فندق والدروف</t>
  </si>
  <si>
    <t>الدفاع الجوى-تشطيبات</t>
  </si>
  <si>
    <t>PKG#205</t>
  </si>
  <si>
    <t xml:space="preserve">intake and return supply  </t>
  </si>
  <si>
    <t>قصر محمد على</t>
  </si>
  <si>
    <t>ميناء اكتوبر</t>
  </si>
  <si>
    <t>Admin Building EGAT</t>
  </si>
  <si>
    <t xml:space="preserve">ابوشنب - الفيوم </t>
  </si>
  <si>
    <t>جوهر اللا لا</t>
  </si>
  <si>
    <t>كوبرى العلمين الضبعة</t>
  </si>
  <si>
    <t>PKG#205-SWI#01 fitout</t>
  </si>
  <si>
    <t>PKG#220 -SOI TOWN</t>
  </si>
  <si>
    <t>R5 FINSHING</t>
  </si>
  <si>
    <t>Suez Steel - Revamp</t>
  </si>
  <si>
    <t>NILE WOOD</t>
  </si>
  <si>
    <t>شركة العاصمة الادارية للتنمية العمرانية</t>
  </si>
  <si>
    <t>شركة السويس للصلب</t>
  </si>
  <si>
    <t>الهيئة القومية للانفاق</t>
  </si>
  <si>
    <t>اعمار مصر للتنمية</t>
  </si>
  <si>
    <t>جهاز العاصمة الادارية</t>
  </si>
  <si>
    <t>جهاز تنمية مدينة 6 اكتوبر</t>
  </si>
  <si>
    <t>General Company for Silos and Storage</t>
  </si>
  <si>
    <t>Egyptian Grinding Advanced Technology S.A.E(EGAT)</t>
  </si>
  <si>
    <t>Emaar Misr For Development</t>
  </si>
  <si>
    <t>ELSEWEDY ELECTRIC</t>
  </si>
  <si>
    <t>Ora Developers</t>
  </si>
  <si>
    <t>Radmes Hotels and Resorts</t>
  </si>
  <si>
    <t>Suez Steel Company</t>
  </si>
  <si>
    <t>GENERAL AUTHORITY FOR ROADS , BRIDGES AND TRANSPOR</t>
  </si>
  <si>
    <t>Ministry of Transportation/Egyptian National Railw</t>
  </si>
  <si>
    <t>New Urban Communities Authority NUCA</t>
  </si>
  <si>
    <t>Armed Forces</t>
  </si>
  <si>
    <t>الهيئة العامة للقوات المسلحة</t>
  </si>
  <si>
    <t>STARLIGHT</t>
  </si>
  <si>
    <t>ORA</t>
  </si>
  <si>
    <t>الجيزة الجديدة للبنية الاساسية</t>
  </si>
  <si>
    <t>EGAT</t>
  </si>
  <si>
    <t>الشركة العامة للصوامع والتخزين</t>
  </si>
  <si>
    <t>EIPICO</t>
  </si>
  <si>
    <t>السويدى الكتريك</t>
  </si>
  <si>
    <t xml:space="preserve">MAF </t>
  </si>
  <si>
    <t>الطرق والكبارى</t>
  </si>
  <si>
    <t>SIEMENS GAMESA</t>
  </si>
  <si>
    <t>DP WORLD</t>
  </si>
  <si>
    <t>الهيئة العامة للنقل النهرى</t>
  </si>
  <si>
    <t xml:space="preserve">هيئة الانفاق </t>
  </si>
  <si>
    <t>راداميس</t>
  </si>
  <si>
    <t>RME-G</t>
  </si>
  <si>
    <t>شركة الخليج للسياحة والفنادق</t>
  </si>
  <si>
    <t>شركة مياه الفيوم</t>
  </si>
  <si>
    <t>OCTOBER DRY</t>
  </si>
  <si>
    <t>Client</t>
  </si>
  <si>
    <t>Category</t>
  </si>
  <si>
    <t>Sub Category</t>
  </si>
  <si>
    <t>Client Type</t>
  </si>
  <si>
    <t>Infrastructure</t>
  </si>
  <si>
    <t>L&amp;L</t>
  </si>
  <si>
    <t>Army Forces</t>
  </si>
  <si>
    <t>ARMY</t>
  </si>
  <si>
    <t>Commercial</t>
  </si>
  <si>
    <t>Offices &amp; Mall</t>
  </si>
  <si>
    <t>YAMM</t>
  </si>
  <si>
    <t>Private</t>
  </si>
  <si>
    <t>EMAAR</t>
  </si>
  <si>
    <t>Al-Futtaim</t>
  </si>
  <si>
    <t>Head Office</t>
  </si>
  <si>
    <t>DPW</t>
  </si>
  <si>
    <t>Networks</t>
  </si>
  <si>
    <t>SODIC</t>
  </si>
  <si>
    <t>Industrial</t>
  </si>
  <si>
    <t>Factory</t>
  </si>
  <si>
    <t>Elco Suez</t>
  </si>
  <si>
    <t>Power Plant</t>
  </si>
  <si>
    <t>Port</t>
  </si>
  <si>
    <t xml:space="preserve">Sewedy </t>
  </si>
  <si>
    <t>Affiliates</t>
  </si>
  <si>
    <t>University</t>
  </si>
  <si>
    <t>Marakez</t>
  </si>
  <si>
    <t>Restoration</t>
  </si>
  <si>
    <t>Army</t>
  </si>
  <si>
    <t>Residential</t>
  </si>
  <si>
    <t>Starlight</t>
  </si>
  <si>
    <t>Naile Wood</t>
  </si>
  <si>
    <t>New Giza</t>
  </si>
  <si>
    <t>Ora</t>
  </si>
  <si>
    <t>Public</t>
  </si>
  <si>
    <t>Government</t>
  </si>
  <si>
    <t>Al Babtain Group</t>
  </si>
  <si>
    <t>Club</t>
  </si>
  <si>
    <t>Transportation Ministry</t>
  </si>
  <si>
    <t>Market</t>
  </si>
  <si>
    <t>Gulf Company for Tourism and Hotels</t>
  </si>
  <si>
    <t>Palace</t>
  </si>
  <si>
    <t>Bridges &amp; Tunnels</t>
  </si>
  <si>
    <t>ENR</t>
  </si>
  <si>
    <t>Utilities And Urban Communities</t>
  </si>
  <si>
    <t>Roads and Bridges Authority</t>
  </si>
  <si>
    <t>Kemet</t>
  </si>
  <si>
    <t>Roads</t>
  </si>
  <si>
    <t>Mosque</t>
  </si>
  <si>
    <t>Parking</t>
  </si>
  <si>
    <t>Hyper</t>
  </si>
  <si>
    <t>GAMESA</t>
  </si>
  <si>
    <t>Hangar</t>
  </si>
  <si>
    <t>SIEMENS</t>
  </si>
  <si>
    <t>TSK</t>
  </si>
  <si>
    <t>MAF</t>
  </si>
  <si>
    <t>Hotel</t>
  </si>
  <si>
    <t>EETC</t>
  </si>
  <si>
    <t>SSC Suez Steel Company Project  0184</t>
  </si>
  <si>
    <t>Project Oricale2</t>
  </si>
  <si>
    <t>Kayan 3 New Cairo Capital City</t>
  </si>
  <si>
    <t>New Giza 2</t>
  </si>
  <si>
    <t>Haramein Columns Transfer  0199</t>
  </si>
  <si>
    <t>Jawhara Palace Restoratio  0200</t>
  </si>
  <si>
    <t>Hosh Eissa Hospital  0201</t>
  </si>
  <si>
    <t>Mabarra for Girls Orphana  0202</t>
  </si>
  <si>
    <t>British International School  0203</t>
  </si>
  <si>
    <t>Haramein Columns Transfer</t>
  </si>
  <si>
    <t>Jawhara Palace Restoratio</t>
  </si>
  <si>
    <t>Hosh Eissa Hospital</t>
  </si>
  <si>
    <t>Mabarra for Girls Orphana</t>
  </si>
  <si>
    <t>British International School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</si>
</sst>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Normal" xfId="0" builtinId="0"/>
  </cellStyles>
  <dxfs count="29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>
          <bgColor theme="5" tint="-0.24994659260841701"/>
        </patternFill>
      </fill>
    </dxf>
    <dxf>
      <fill>
        <patternFill>
          <bgColor rgb="FFFFFF00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hamed Gaballah" refreshedDate="45076.421149884256" createdVersion="8" refreshedVersion="8" minRefreshableVersion="3" recordCount="24" xr:uid="{FA14BFC6-30BC-4D67-825D-B978E48B6DB1}">
  <cacheSource type="worksheet">
    <worksheetSource ref="D3:E26" sheet="Clients"/>
  </cacheSource>
  <cacheFields count="2">
    <cacheField name="General" numFmtId="0">
      <sharedItems count="4">
        <s v="Indirect Operation Cash out"/>
        <s v="Operation Cash Out"/>
        <s v="Finance Overheads"/>
        <s v="Head office Overheads"/>
      </sharedItems>
    </cacheField>
    <cacheField name="Our" numFmtId="0">
      <sharedItems count="24">
        <s v="Daily Wages"/>
        <s v="Concrete"/>
        <s v="Fleet"/>
        <s v="Subcontractors Daily Wages"/>
        <s v="Petty Cash"/>
        <s v="(Taxes +Insurance+OH+Profit) 12%"/>
        <s v="Guard"/>
        <s v="Supply &amp; Apply"/>
        <s v="Salaries"/>
        <s v="Mobile"/>
        <s v="Purchasing (Current Accounts)"/>
        <s v="Overheads"/>
        <s v="Accommodation"/>
        <s v="Consultancy"/>
        <s v="Equipment"/>
        <s v="Pos &amp; Delivery Payments"/>
        <s v="Procurment (AP )"/>
        <s v="Steel"/>
        <s v="Heavy Equipment"/>
        <s v="Wood"/>
        <s v="Apply Only"/>
        <s v="Scaffolding"/>
        <s v="Supply Only"/>
        <s v="Earthwork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x v="0"/>
  </r>
  <r>
    <x v="1"/>
    <x v="1"/>
  </r>
  <r>
    <x v="0"/>
    <x v="2"/>
  </r>
  <r>
    <x v="0"/>
    <x v="3"/>
  </r>
  <r>
    <x v="1"/>
    <x v="4"/>
  </r>
  <r>
    <x v="2"/>
    <x v="5"/>
  </r>
  <r>
    <x v="0"/>
    <x v="6"/>
  </r>
  <r>
    <x v="1"/>
    <x v="7"/>
  </r>
  <r>
    <x v="0"/>
    <x v="8"/>
  </r>
  <r>
    <x v="0"/>
    <x v="9"/>
  </r>
  <r>
    <x v="1"/>
    <x v="10"/>
  </r>
  <r>
    <x v="3"/>
    <x v="11"/>
  </r>
  <r>
    <x v="0"/>
    <x v="12"/>
  </r>
  <r>
    <x v="1"/>
    <x v="13"/>
  </r>
  <r>
    <x v="1"/>
    <x v="14"/>
  </r>
  <r>
    <x v="1"/>
    <x v="15"/>
  </r>
  <r>
    <x v="1"/>
    <x v="16"/>
  </r>
  <r>
    <x v="1"/>
    <x v="17"/>
  </r>
  <r>
    <x v="0"/>
    <x v="18"/>
  </r>
  <r>
    <x v="1"/>
    <x v="19"/>
  </r>
  <r>
    <x v="1"/>
    <x v="20"/>
  </r>
  <r>
    <x v="1"/>
    <x v="21"/>
  </r>
  <r>
    <x v="1"/>
    <x v="22"/>
  </r>
  <r>
    <x v="0"/>
    <x v="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DB86C3-FB42-414D-BC6F-36494C7ED0FA}" name="PivotTable3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B28" firstHeaderRow="1" firstDataRow="1" firstDataCol="2"/>
  <pivotFields count="2">
    <pivotField axis="axisRow" compact="0" outline="0" showAll="0" defaultSubtotal="0">
      <items count="4">
        <item x="2"/>
        <item x="3"/>
        <item x="0"/>
        <item x="1"/>
      </items>
    </pivotField>
    <pivotField axis="axisRow" compact="0" outline="0" showAll="0" defaultSubtotal="0">
      <items count="24">
        <item x="5"/>
        <item x="12"/>
        <item x="20"/>
        <item x="1"/>
        <item x="13"/>
        <item x="0"/>
        <item x="23"/>
        <item x="14"/>
        <item x="2"/>
        <item x="6"/>
        <item x="18"/>
        <item x="9"/>
        <item x="11"/>
        <item x="4"/>
        <item x="15"/>
        <item x="16"/>
        <item x="10"/>
        <item x="8"/>
        <item x="21"/>
        <item x="17"/>
        <item x="3"/>
        <item x="7"/>
        <item x="22"/>
        <item x="19"/>
      </items>
    </pivotField>
  </pivotFields>
  <rowFields count="2">
    <field x="0"/>
    <field x="1"/>
  </rowFields>
  <rowItems count="25">
    <i>
      <x/>
      <x/>
    </i>
    <i>
      <x v="1"/>
      <x v="12"/>
    </i>
    <i>
      <x v="2"/>
      <x v="1"/>
    </i>
    <i r="1">
      <x v="5"/>
    </i>
    <i r="1">
      <x v="6"/>
    </i>
    <i r="1">
      <x v="8"/>
    </i>
    <i r="1">
      <x v="9"/>
    </i>
    <i r="1">
      <x v="10"/>
    </i>
    <i r="1">
      <x v="11"/>
    </i>
    <i r="1">
      <x v="17"/>
    </i>
    <i r="1">
      <x v="20"/>
    </i>
    <i>
      <x v="3"/>
      <x v="2"/>
    </i>
    <i r="1">
      <x v="3"/>
    </i>
    <i r="1">
      <x v="4"/>
    </i>
    <i r="1">
      <x v="7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1"/>
    </i>
    <i r="1">
      <x v="22"/>
    </i>
    <i r="1">
      <x v="2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F13484-7B07-4639-89E2-E404DAADE6A2}" name="Table4" displayName="Table4" ref="A1:K123" totalsRowShown="0" headerRowDxfId="22" dataDxfId="21">
  <autoFilter ref="A1:K123" xr:uid="{97F13484-7B07-4639-89E2-E404DAADE6A2}">
    <filterColumn colId="0">
      <filters>
        <filter val="Alamein Coastal Road Bridge  0166"/>
        <filter val="Alamein  0084"/>
        <filter val="Mehwar elsalam Lock &amp; Load  0120"/>
      </filters>
    </filterColumn>
  </autoFilter>
  <sortState xmlns:xlrd2="http://schemas.microsoft.com/office/spreadsheetml/2017/richdata2" ref="A2:K118">
    <sortCondition ref="C1:C118"/>
  </sortState>
  <tableColumns count="11">
    <tableColumn id="1" xr3:uid="{EA1FA793-523C-4A64-8612-78E90D859D63}" name="Project Oricale" dataDxfId="20"/>
    <tableColumn id="11" xr3:uid="{8360C4E1-E669-4F57-B96A-DBEBC6853CAB}" name="Project Oricale2" dataDxfId="19">
      <calculatedColumnFormula>TRIM(LEFT(A2,FIND(RIGHT(A2,6),A2)-1))</calculatedColumnFormula>
    </tableColumn>
    <tableColumn id="2" xr3:uid="{D822B1E4-C7A5-4FC0-8163-384B0347B2D2}" name="Cost Center" dataDxfId="18"/>
    <tableColumn id="3" xr3:uid="{9A671D98-FBFB-4E7D-ACB2-6410A240DDE7}" name="Serial" dataDxfId="17"/>
    <tableColumn id="4" xr3:uid="{ABC092CE-896B-440F-90B4-EA4490942420}" name="Project Name Control" dataDxfId="16"/>
    <tableColumn id="5" xr3:uid="{E7615C35-38BE-4862-A24E-F390C2A7C516}" name="Sector Name" dataDxfId="15"/>
    <tableColumn id="6" xr3:uid="{388CE5E4-98A6-4477-8ED0-E9EC7AC16C8B}" name="Project MANAGER" dataDxfId="14"/>
    <tableColumn id="7" xr3:uid="{8123F2C1-4B94-4B46-B2FF-498150C72A2F}" name="Category" dataDxfId="13"/>
    <tableColumn id="8" xr3:uid="{86DF65B0-1353-41E9-A344-C2566B7ADAB9}" name="Sub Category" dataDxfId="12"/>
    <tableColumn id="9" xr3:uid="{AD663378-BAEB-4794-AEB4-5DA2517AEB3A}" name="Client" dataDxfId="11"/>
    <tableColumn id="10" xr3:uid="{F5DA1111-7E99-49F5-B378-9614B521DCCF}" name="Client Type" dataDxfId="10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ABD767-5FBD-4383-9C9F-EECD02D47BF3}" name="Table1" displayName="Table1" ref="A1:B94" totalsRowShown="0" headerRowDxfId="7" dataDxfId="6">
  <autoFilter ref="A1:B94" xr:uid="{81ABD767-5FBD-4383-9C9F-EECD02D47BF3}"/>
  <tableColumns count="2">
    <tableColumn id="1" xr3:uid="{2C41569F-E539-4E76-9147-08B025712264}" name="Project Name" dataDxfId="5"/>
    <tableColumn id="2" xr3:uid="{734B75AF-0E33-49F9-BF1C-1D44B7B40B20}" name="Our Name" dataDxfId="4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E0C4E09-7DBF-474D-9556-054407344D67}" name="Table2" displayName="Table2" ref="A1:B357" totalsRowShown="0" headerRowDxfId="3">
  <autoFilter ref="A1:B357" xr:uid="{DE0C4E09-7DBF-474D-9556-054407344D67}"/>
  <tableColumns count="2">
    <tableColumn id="1" xr3:uid="{965202B8-752E-4CD6-9B99-08FC4D0569AD}" name="Input Here"/>
    <tableColumn id="2" xr3:uid="{26C99C96-E655-48AB-B458-F79340EEFDDE}" name="Categorization">
      <calculatedColumnFormula array="1">categorize(Table2[[#This Row],[Input Here]])</calculatedColumnFormula>
    </tableColumn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5ABF1D-B6B8-47BE-94C5-4609853BE165}" name="Table3" displayName="Table3" ref="A1:A40" totalsRowShown="0" headerRowDxfId="2" dataDxfId="1">
  <autoFilter ref="A1:A40" xr:uid="{325ABF1D-B6B8-47BE-94C5-4609853BE165}"/>
  <tableColumns count="1">
    <tableColumn id="1" xr3:uid="{F7ABCC4D-28FC-45D6-95E0-0E0A2BD342DA}" name="Client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EBA0C-1BEE-46F9-A64A-C33A3C5EE5EC}">
  <sheetPr codeName="Sheet2"/>
  <dimension ref="A1:K123"/>
  <sheetViews>
    <sheetView zoomScale="85" zoomScaleNormal="85" workbookViewId="0">
      <pane ySplit="1" topLeftCell="A19" activePane="bottomLeft" state="frozen"/>
      <selection pane="bottomLeft" activeCell="A129" sqref="A128:A129"/>
    </sheetView>
  </sheetViews>
  <sheetFormatPr defaultRowHeight="15" x14ac:dyDescent="0.25"/>
  <cols>
    <col min="1" max="1" width="46.140625" bestFit="1" customWidth="1"/>
    <col min="2" max="2" width="46.140625" customWidth="1"/>
    <col min="3" max="3" width="16" bestFit="1" customWidth="1"/>
    <col min="4" max="4" width="11.28515625" bestFit="1" customWidth="1"/>
    <col min="5" max="5" width="46.140625" bestFit="1" customWidth="1"/>
    <col min="6" max="6" width="33.28515625" bestFit="1" customWidth="1"/>
    <col min="7" max="7" width="24.140625" bestFit="1" customWidth="1"/>
    <col min="8" max="8" width="13.85546875" style="2" bestFit="1" customWidth="1"/>
    <col min="9" max="9" width="18.140625" style="2" bestFit="1" customWidth="1"/>
    <col min="10" max="10" width="36.28515625" style="2" bestFit="1" customWidth="1"/>
    <col min="11" max="11" width="15.7109375" style="2" bestFit="1" customWidth="1"/>
    <col min="15" max="15" width="15" bestFit="1" customWidth="1"/>
  </cols>
  <sheetData>
    <row r="1" spans="1:11" x14ac:dyDescent="0.25">
      <c r="A1" s="6" t="s">
        <v>42</v>
      </c>
      <c r="B1" s="6" t="s">
        <v>569</v>
      </c>
      <c r="C1" s="6" t="s">
        <v>43</v>
      </c>
      <c r="D1" s="6" t="s">
        <v>44</v>
      </c>
      <c r="E1" s="6" t="s">
        <v>45</v>
      </c>
      <c r="F1" s="6" t="s">
        <v>46</v>
      </c>
      <c r="G1" s="6" t="s">
        <v>47</v>
      </c>
      <c r="H1" s="6" t="s">
        <v>511</v>
      </c>
      <c r="I1" s="6" t="s">
        <v>512</v>
      </c>
      <c r="J1" s="6" t="s">
        <v>510</v>
      </c>
      <c r="K1" s="6" t="s">
        <v>513</v>
      </c>
    </row>
    <row r="2" spans="1:11" hidden="1" x14ac:dyDescent="0.25">
      <c r="A2" s="2" t="s">
        <v>143</v>
      </c>
      <c r="B2" s="2" t="str">
        <f t="shared" ref="B2:B33" si="0">TRIM(LEFT(A2,FIND(RIGHT(A2,6),A2)-1))</f>
        <v>Sodic Club House</v>
      </c>
      <c r="C2" s="2">
        <v>32</v>
      </c>
      <c r="D2" s="2">
        <v>52</v>
      </c>
      <c r="E2" s="2" t="s">
        <v>144</v>
      </c>
      <c r="F2" s="2" t="s">
        <v>51</v>
      </c>
      <c r="G2" s="2" t="s">
        <v>66</v>
      </c>
      <c r="H2" s="2" t="s">
        <v>518</v>
      </c>
      <c r="I2" s="2" t="s">
        <v>547</v>
      </c>
      <c r="J2" s="2" t="s">
        <v>527</v>
      </c>
      <c r="K2" s="2" t="s">
        <v>521</v>
      </c>
    </row>
    <row r="3" spans="1:11" hidden="1" x14ac:dyDescent="0.25">
      <c r="A3" s="2" t="s">
        <v>306</v>
      </c>
      <c r="B3" s="2" t="str">
        <f t="shared" si="0"/>
        <v>Al Mostathmreen GIS Substation</v>
      </c>
      <c r="C3" s="2">
        <v>40</v>
      </c>
      <c r="D3" s="2">
        <v>88</v>
      </c>
      <c r="E3" s="2" t="s">
        <v>307</v>
      </c>
      <c r="F3" s="2" t="s">
        <v>51</v>
      </c>
      <c r="G3" s="2" t="s">
        <v>127</v>
      </c>
      <c r="H3" s="2" t="s">
        <v>528</v>
      </c>
      <c r="I3" s="2" t="s">
        <v>531</v>
      </c>
      <c r="J3" s="2" t="s">
        <v>567</v>
      </c>
      <c r="K3" s="2" t="s">
        <v>544</v>
      </c>
    </row>
    <row r="4" spans="1:11" hidden="1" x14ac:dyDescent="0.25">
      <c r="A4" s="2" t="s">
        <v>317</v>
      </c>
      <c r="B4" s="2" t="str">
        <f t="shared" si="0"/>
        <v>Tamey El-amdeed Substation</v>
      </c>
      <c r="C4" s="2">
        <v>51</v>
      </c>
      <c r="D4" s="2">
        <v>36</v>
      </c>
      <c r="E4" s="2" t="s">
        <v>318</v>
      </c>
      <c r="F4" s="2" t="s">
        <v>51</v>
      </c>
      <c r="G4" s="2" t="s">
        <v>127</v>
      </c>
      <c r="H4" s="2" t="s">
        <v>528</v>
      </c>
      <c r="I4" s="2" t="s">
        <v>531</v>
      </c>
      <c r="J4" s="2" t="s">
        <v>567</v>
      </c>
      <c r="K4" s="2" t="s">
        <v>544</v>
      </c>
    </row>
    <row r="5" spans="1:11" hidden="1" x14ac:dyDescent="0.25">
      <c r="A5" s="2" t="s">
        <v>310</v>
      </c>
      <c r="B5" s="2" t="str">
        <f t="shared" si="0"/>
        <v>Ismailiya East Substation</v>
      </c>
      <c r="C5" s="2">
        <v>52</v>
      </c>
      <c r="D5" s="2">
        <v>35</v>
      </c>
      <c r="E5" s="2" t="s">
        <v>311</v>
      </c>
      <c r="F5" s="2" t="s">
        <v>51</v>
      </c>
      <c r="G5" s="2" t="s">
        <v>127</v>
      </c>
      <c r="H5" s="2" t="s">
        <v>528</v>
      </c>
      <c r="I5" s="2" t="s">
        <v>531</v>
      </c>
      <c r="J5" s="2" t="s">
        <v>567</v>
      </c>
      <c r="K5" s="2" t="s">
        <v>544</v>
      </c>
    </row>
    <row r="6" spans="1:11" hidden="1" x14ac:dyDescent="0.25">
      <c r="A6" s="2" t="s">
        <v>198</v>
      </c>
      <c r="B6" s="2" t="str">
        <f t="shared" si="0"/>
        <v>Ministries Buildings</v>
      </c>
      <c r="C6" s="2">
        <v>60</v>
      </c>
      <c r="D6" s="2">
        <v>19</v>
      </c>
      <c r="E6" s="2" t="s">
        <v>199</v>
      </c>
      <c r="F6" s="2" t="s">
        <v>200</v>
      </c>
      <c r="G6" s="2" t="s">
        <v>197</v>
      </c>
      <c r="H6" s="2" t="s">
        <v>518</v>
      </c>
      <c r="I6" s="2" t="s">
        <v>519</v>
      </c>
      <c r="J6" s="2" t="s">
        <v>516</v>
      </c>
      <c r="K6" s="2" t="s">
        <v>538</v>
      </c>
    </row>
    <row r="7" spans="1:11" hidden="1" x14ac:dyDescent="0.25">
      <c r="A7" s="2" t="s">
        <v>308</v>
      </c>
      <c r="B7" s="2" t="str">
        <f t="shared" si="0"/>
        <v>Beni Suef Substation R61</v>
      </c>
      <c r="C7" s="2">
        <v>61</v>
      </c>
      <c r="D7" s="2">
        <v>63</v>
      </c>
      <c r="E7" s="2" t="s">
        <v>309</v>
      </c>
      <c r="F7" s="2" t="s">
        <v>51</v>
      </c>
      <c r="G7" s="2" t="s">
        <v>127</v>
      </c>
      <c r="H7" s="2" t="s">
        <v>528</v>
      </c>
      <c r="I7" s="2" t="s">
        <v>531</v>
      </c>
      <c r="J7" s="2" t="s">
        <v>567</v>
      </c>
      <c r="K7" s="2" t="s">
        <v>544</v>
      </c>
    </row>
    <row r="8" spans="1:11" hidden="1" x14ac:dyDescent="0.25">
      <c r="A8" s="2" t="s">
        <v>141</v>
      </c>
      <c r="B8" s="2" t="str">
        <f t="shared" si="0"/>
        <v>Royal City</v>
      </c>
      <c r="C8" s="2">
        <v>63</v>
      </c>
      <c r="D8" s="2">
        <v>11</v>
      </c>
      <c r="E8" s="2" t="s">
        <v>142</v>
      </c>
      <c r="F8" s="2" t="s">
        <v>51</v>
      </c>
      <c r="G8" s="2" t="s">
        <v>66</v>
      </c>
      <c r="H8" s="2" t="s">
        <v>518</v>
      </c>
      <c r="I8" s="2" t="s">
        <v>519</v>
      </c>
      <c r="J8" s="2" t="s">
        <v>546</v>
      </c>
      <c r="K8" s="2" t="s">
        <v>521</v>
      </c>
    </row>
    <row r="9" spans="1:11" hidden="1" x14ac:dyDescent="0.25">
      <c r="A9" s="2" t="s">
        <v>298</v>
      </c>
      <c r="B9" s="2" t="str">
        <f t="shared" si="0"/>
        <v>El Sewedy Stores Project</v>
      </c>
      <c r="C9" s="2">
        <v>65</v>
      </c>
      <c r="D9" s="2">
        <v>57</v>
      </c>
      <c r="E9" s="2" t="s">
        <v>299</v>
      </c>
      <c r="F9" s="2" t="s">
        <v>51</v>
      </c>
      <c r="G9" s="2" t="s">
        <v>59</v>
      </c>
      <c r="H9" s="2" t="s">
        <v>528</v>
      </c>
      <c r="I9" s="2" t="s">
        <v>529</v>
      </c>
      <c r="J9" s="2" t="s">
        <v>533</v>
      </c>
      <c r="K9" s="2" t="s">
        <v>534</v>
      </c>
    </row>
    <row r="10" spans="1:11" hidden="1" x14ac:dyDescent="0.25">
      <c r="A10" s="2" t="s">
        <v>55</v>
      </c>
      <c r="B10" s="2" t="str">
        <f t="shared" si="0"/>
        <v>kayan wall lock &amp; Load</v>
      </c>
      <c r="C10" s="2">
        <v>68</v>
      </c>
      <c r="D10" s="2">
        <v>70</v>
      </c>
      <c r="E10" s="2" t="s">
        <v>56</v>
      </c>
      <c r="F10" s="2" t="s">
        <v>51</v>
      </c>
      <c r="G10" s="2" t="s">
        <v>52</v>
      </c>
      <c r="H10" s="2" t="s">
        <v>514</v>
      </c>
      <c r="I10" s="2" t="s">
        <v>515</v>
      </c>
      <c r="J10" s="2" t="s">
        <v>516</v>
      </c>
      <c r="K10" s="2" t="s">
        <v>538</v>
      </c>
    </row>
    <row r="11" spans="1:11" hidden="1" x14ac:dyDescent="0.25">
      <c r="A11" s="2" t="s">
        <v>265</v>
      </c>
      <c r="B11" s="2" t="str">
        <f t="shared" si="0"/>
        <v>Suez Steel Factory</v>
      </c>
      <c r="C11" s="2">
        <v>69</v>
      </c>
      <c r="D11" s="2">
        <v>51</v>
      </c>
      <c r="E11" s="2" t="s">
        <v>266</v>
      </c>
      <c r="F11" s="2" t="s">
        <v>51</v>
      </c>
      <c r="G11" s="2" t="s">
        <v>76</v>
      </c>
      <c r="H11" s="2" t="s">
        <v>528</v>
      </c>
      <c r="I11" s="2" t="s">
        <v>529</v>
      </c>
      <c r="J11" s="2" t="s">
        <v>495</v>
      </c>
      <c r="K11" s="2" t="s">
        <v>521</v>
      </c>
    </row>
    <row r="12" spans="1:11" hidden="1" x14ac:dyDescent="0.25">
      <c r="A12" s="2" t="s">
        <v>190</v>
      </c>
      <c r="B12" s="2" t="str">
        <f t="shared" si="0"/>
        <v>Hyper El-Temsah</v>
      </c>
      <c r="C12" s="2">
        <v>70</v>
      </c>
      <c r="D12" s="2">
        <v>66</v>
      </c>
      <c r="E12" s="2" t="s">
        <v>191</v>
      </c>
      <c r="F12" s="2" t="s">
        <v>51</v>
      </c>
      <c r="G12" s="2" t="s">
        <v>59</v>
      </c>
      <c r="H12" s="2" t="s">
        <v>518</v>
      </c>
      <c r="I12" s="2" t="s">
        <v>549</v>
      </c>
      <c r="J12" s="2" t="s">
        <v>516</v>
      </c>
      <c r="K12" s="2" t="s">
        <v>538</v>
      </c>
    </row>
    <row r="13" spans="1:11" hidden="1" x14ac:dyDescent="0.25">
      <c r="A13" s="2" t="s">
        <v>304</v>
      </c>
      <c r="B13" s="2" t="str">
        <f t="shared" si="0"/>
        <v>EMAAR-PKG117- MARASSI</v>
      </c>
      <c r="C13" s="2">
        <v>71</v>
      </c>
      <c r="D13" s="2">
        <v>58</v>
      </c>
      <c r="E13" s="2" t="s">
        <v>305</v>
      </c>
      <c r="F13" s="2" t="s">
        <v>51</v>
      </c>
      <c r="G13" s="2" t="s">
        <v>66</v>
      </c>
      <c r="H13" s="2" t="s">
        <v>514</v>
      </c>
      <c r="I13" s="2" t="s">
        <v>552</v>
      </c>
      <c r="J13" s="2" t="s">
        <v>522</v>
      </c>
      <c r="K13" s="2" t="s">
        <v>521</v>
      </c>
    </row>
    <row r="14" spans="1:11" hidden="1" x14ac:dyDescent="0.25">
      <c r="A14" s="2" t="s">
        <v>263</v>
      </c>
      <c r="B14" s="2" t="str">
        <f t="shared" si="0"/>
        <v>Siemens Power Station</v>
      </c>
      <c r="C14" s="2">
        <v>72</v>
      </c>
      <c r="D14" s="2">
        <v>50</v>
      </c>
      <c r="E14" s="2" t="s">
        <v>264</v>
      </c>
      <c r="F14" s="2" t="s">
        <v>51</v>
      </c>
      <c r="G14" s="2" t="s">
        <v>59</v>
      </c>
      <c r="H14" s="2" t="s">
        <v>528</v>
      </c>
      <c r="I14" s="2" t="s">
        <v>529</v>
      </c>
      <c r="J14" s="2" t="s">
        <v>563</v>
      </c>
      <c r="K14" s="2" t="s">
        <v>521</v>
      </c>
    </row>
    <row r="15" spans="1:11" hidden="1" x14ac:dyDescent="0.25">
      <c r="A15" s="2" t="s">
        <v>201</v>
      </c>
      <c r="B15" s="2" t="str">
        <f t="shared" si="0"/>
        <v>Mohamed Ali Palace Restoration</v>
      </c>
      <c r="C15" s="2">
        <v>78</v>
      </c>
      <c r="D15" s="2">
        <v>33</v>
      </c>
      <c r="E15" s="2" t="s">
        <v>202</v>
      </c>
      <c r="F15" s="2" t="s">
        <v>51</v>
      </c>
      <c r="G15" s="2" t="s">
        <v>104</v>
      </c>
      <c r="H15" s="2" t="s">
        <v>537</v>
      </c>
      <c r="I15" s="2" t="s">
        <v>551</v>
      </c>
      <c r="J15" s="2" t="s">
        <v>516</v>
      </c>
      <c r="K15" s="2" t="s">
        <v>538</v>
      </c>
    </row>
    <row r="16" spans="1:11" hidden="1" x14ac:dyDescent="0.25">
      <c r="A16" s="2" t="s">
        <v>183</v>
      </c>
      <c r="B16" s="2" t="str">
        <f t="shared" si="0"/>
        <v>Fish Market</v>
      </c>
      <c r="C16" s="2">
        <v>80</v>
      </c>
      <c r="D16" s="2">
        <v>65</v>
      </c>
      <c r="E16" s="2" t="s">
        <v>184</v>
      </c>
      <c r="F16" s="2" t="s">
        <v>51</v>
      </c>
      <c r="G16" s="2" t="s">
        <v>59</v>
      </c>
      <c r="H16" s="2" t="s">
        <v>518</v>
      </c>
      <c r="I16" s="2" t="s">
        <v>549</v>
      </c>
      <c r="J16" s="2" t="s">
        <v>516</v>
      </c>
      <c r="K16" s="2" t="s">
        <v>538</v>
      </c>
    </row>
    <row r="17" spans="1:11" hidden="1" x14ac:dyDescent="0.25">
      <c r="A17" s="2" t="s">
        <v>57</v>
      </c>
      <c r="B17" s="2" t="str">
        <f t="shared" si="0"/>
        <v>AL-JAZI EGYPT</v>
      </c>
      <c r="C17" s="2">
        <v>81</v>
      </c>
      <c r="D17" s="2">
        <v>16</v>
      </c>
      <c r="E17" s="2" t="s">
        <v>58</v>
      </c>
      <c r="F17" s="2" t="s">
        <v>51</v>
      </c>
      <c r="G17" s="2" t="s">
        <v>59</v>
      </c>
      <c r="H17" s="2" t="s">
        <v>518</v>
      </c>
      <c r="I17" s="2" t="s">
        <v>519</v>
      </c>
      <c r="J17" s="2" t="s">
        <v>520</v>
      </c>
      <c r="K17" s="2" t="s">
        <v>521</v>
      </c>
    </row>
    <row r="18" spans="1:11" hidden="1" x14ac:dyDescent="0.25">
      <c r="A18" s="2" t="s">
        <v>283</v>
      </c>
      <c r="B18" s="2" t="str">
        <f t="shared" si="0"/>
        <v>TSK Solar Benban</v>
      </c>
      <c r="C18" s="2">
        <v>83</v>
      </c>
      <c r="D18" s="2">
        <v>79</v>
      </c>
      <c r="E18" s="2" t="s">
        <v>284</v>
      </c>
      <c r="F18" s="2" t="s">
        <v>51</v>
      </c>
      <c r="G18" s="2" t="s">
        <v>59</v>
      </c>
      <c r="H18" s="2" t="s">
        <v>528</v>
      </c>
      <c r="I18" s="2" t="s">
        <v>531</v>
      </c>
      <c r="J18" s="2" t="s">
        <v>564</v>
      </c>
      <c r="K18" s="2" t="s">
        <v>521</v>
      </c>
    </row>
    <row r="19" spans="1:11" x14ac:dyDescent="0.25">
      <c r="A19" s="2" t="s">
        <v>267</v>
      </c>
      <c r="B19" s="2" t="str">
        <f t="shared" si="0"/>
        <v>Alamein</v>
      </c>
      <c r="C19" s="2">
        <v>84</v>
      </c>
      <c r="D19" s="2">
        <v>64</v>
      </c>
      <c r="E19" s="2" t="s">
        <v>268</v>
      </c>
      <c r="F19" s="2" t="s">
        <v>51</v>
      </c>
      <c r="G19" s="2" t="s">
        <v>165</v>
      </c>
      <c r="H19" s="2" t="s">
        <v>49</v>
      </c>
      <c r="I19" s="2" t="s">
        <v>49</v>
      </c>
      <c r="J19" s="2" t="s">
        <v>49</v>
      </c>
      <c r="K19" s="2" t="s">
        <v>49</v>
      </c>
    </row>
    <row r="20" spans="1:11" hidden="1" x14ac:dyDescent="0.25">
      <c r="A20" s="2" t="s">
        <v>98</v>
      </c>
      <c r="B20" s="2" t="str">
        <f t="shared" si="0"/>
        <v>Elsewedy Univ - Enabling Works</v>
      </c>
      <c r="C20" s="2">
        <v>85</v>
      </c>
      <c r="D20" s="2">
        <v>53</v>
      </c>
      <c r="E20" s="2" t="s">
        <v>99</v>
      </c>
      <c r="F20" s="2" t="s">
        <v>51</v>
      </c>
      <c r="G20" s="2" t="s">
        <v>66</v>
      </c>
      <c r="H20" s="2" t="s">
        <v>518</v>
      </c>
      <c r="I20" s="2" t="s">
        <v>535</v>
      </c>
      <c r="J20" s="2" t="s">
        <v>533</v>
      </c>
      <c r="K20" s="2" t="s">
        <v>534</v>
      </c>
    </row>
    <row r="21" spans="1:11" hidden="1" x14ac:dyDescent="0.25">
      <c r="A21" s="2" t="s">
        <v>279</v>
      </c>
      <c r="B21" s="2" t="str">
        <f t="shared" si="0"/>
        <v>Lock&amp;Load-30June w Sokhna Rd</v>
      </c>
      <c r="C21" s="2">
        <v>86</v>
      </c>
      <c r="D21" s="2" t="s">
        <v>49</v>
      </c>
      <c r="E21" s="2" t="s">
        <v>280</v>
      </c>
      <c r="F21" s="2" t="s">
        <v>51</v>
      </c>
      <c r="G21" s="2" t="s">
        <v>165</v>
      </c>
      <c r="H21" s="2" t="s">
        <v>514</v>
      </c>
      <c r="I21" s="2" t="s">
        <v>515</v>
      </c>
      <c r="J21" s="2" t="s">
        <v>516</v>
      </c>
      <c r="K21" s="2" t="s">
        <v>538</v>
      </c>
    </row>
    <row r="22" spans="1:11" hidden="1" x14ac:dyDescent="0.25">
      <c r="A22" s="2" t="s">
        <v>203</v>
      </c>
      <c r="B22" s="2" t="str">
        <f t="shared" si="0"/>
        <v>NUCA R05 - Z02</v>
      </c>
      <c r="C22" s="2">
        <v>88</v>
      </c>
      <c r="D22" s="2">
        <v>21</v>
      </c>
      <c r="E22" s="2" t="s">
        <v>204</v>
      </c>
      <c r="F22" s="2" t="s">
        <v>205</v>
      </c>
      <c r="G22" s="2" t="s">
        <v>162</v>
      </c>
      <c r="H22" s="2" t="s">
        <v>539</v>
      </c>
      <c r="I22" s="2" t="s">
        <v>539</v>
      </c>
      <c r="J22" s="2" t="s">
        <v>554</v>
      </c>
      <c r="K22" s="2" t="s">
        <v>544</v>
      </c>
    </row>
    <row r="23" spans="1:11" hidden="1" x14ac:dyDescent="0.25">
      <c r="A23" s="2" t="s">
        <v>287</v>
      </c>
      <c r="B23" s="2" t="str">
        <f t="shared" si="0"/>
        <v>Tunnel of Sokhna Road (2)</v>
      </c>
      <c r="C23" s="2">
        <v>90</v>
      </c>
      <c r="D23" s="2" t="s">
        <v>49</v>
      </c>
      <c r="E23" s="2" t="s">
        <v>288</v>
      </c>
      <c r="F23" s="2" t="s">
        <v>51</v>
      </c>
      <c r="G23" s="2" t="s">
        <v>165</v>
      </c>
      <c r="H23" s="2" t="s">
        <v>514</v>
      </c>
      <c r="I23" s="2" t="s">
        <v>552</v>
      </c>
      <c r="J23" s="2" t="s">
        <v>516</v>
      </c>
      <c r="K23" s="2" t="s">
        <v>517</v>
      </c>
    </row>
    <row r="24" spans="1:11" hidden="1" x14ac:dyDescent="0.25">
      <c r="A24" s="2" t="s">
        <v>79</v>
      </c>
      <c r="B24" s="2" t="str">
        <f t="shared" si="0"/>
        <v>EDNC Retail &amp; Offices Civil</v>
      </c>
      <c r="C24" s="2">
        <v>92</v>
      </c>
      <c r="D24" s="2">
        <v>3</v>
      </c>
      <c r="E24" s="2" t="s">
        <v>80</v>
      </c>
      <c r="F24" s="2" t="s">
        <v>51</v>
      </c>
      <c r="G24" s="2" t="s">
        <v>59</v>
      </c>
      <c r="H24" s="2" t="s">
        <v>518</v>
      </c>
      <c r="I24" s="2" t="s">
        <v>519</v>
      </c>
      <c r="J24" s="2" t="s">
        <v>527</v>
      </c>
      <c r="K24" s="2" t="s">
        <v>521</v>
      </c>
    </row>
    <row r="25" spans="1:11" hidden="1" x14ac:dyDescent="0.25">
      <c r="A25" s="2" t="s">
        <v>251</v>
      </c>
      <c r="B25" s="2" t="str">
        <f t="shared" si="0"/>
        <v>EMAAR-PKG# 144, Marassi</v>
      </c>
      <c r="C25" s="2">
        <v>93</v>
      </c>
      <c r="D25" s="2">
        <v>54</v>
      </c>
      <c r="E25" s="2" t="s">
        <v>252</v>
      </c>
      <c r="F25" s="2" t="s">
        <v>51</v>
      </c>
      <c r="G25" s="2" t="s">
        <v>66</v>
      </c>
      <c r="H25" s="2" t="s">
        <v>518</v>
      </c>
      <c r="I25" s="2" t="s">
        <v>519</v>
      </c>
      <c r="J25" s="2" t="s">
        <v>522</v>
      </c>
      <c r="K25" s="2" t="s">
        <v>521</v>
      </c>
    </row>
    <row r="26" spans="1:11" hidden="1" x14ac:dyDescent="0.25">
      <c r="A26" s="2" t="s">
        <v>74</v>
      </c>
      <c r="B26" s="2" t="str">
        <f t="shared" si="0"/>
        <v>DPW Onshore Port &amp; Terminal</v>
      </c>
      <c r="C26" s="2">
        <v>94</v>
      </c>
      <c r="D26" s="2">
        <v>2</v>
      </c>
      <c r="E26" s="2" t="s">
        <v>75</v>
      </c>
      <c r="F26" s="2" t="s">
        <v>51</v>
      </c>
      <c r="G26" s="2" t="s">
        <v>76</v>
      </c>
      <c r="H26" s="2" t="s">
        <v>514</v>
      </c>
      <c r="I26" s="2" t="s">
        <v>526</v>
      </c>
      <c r="J26" s="2" t="s">
        <v>525</v>
      </c>
      <c r="K26" s="2" t="s">
        <v>521</v>
      </c>
    </row>
    <row r="27" spans="1:11" hidden="1" x14ac:dyDescent="0.25">
      <c r="A27" s="2" t="s">
        <v>281</v>
      </c>
      <c r="B27" s="2" t="str">
        <f t="shared" si="0"/>
        <v>EMAAR-PKG# 101-UPTOWN</v>
      </c>
      <c r="C27" s="2">
        <v>95</v>
      </c>
      <c r="D27" s="2">
        <v>17</v>
      </c>
      <c r="E27" s="2" t="s">
        <v>282</v>
      </c>
      <c r="F27" s="2" t="s">
        <v>51</v>
      </c>
      <c r="G27" s="2" t="s">
        <v>59</v>
      </c>
      <c r="H27" s="2" t="s">
        <v>49</v>
      </c>
      <c r="I27" s="2" t="s">
        <v>49</v>
      </c>
      <c r="J27" s="2" t="s">
        <v>522</v>
      </c>
      <c r="K27" s="2" t="s">
        <v>521</v>
      </c>
    </row>
    <row r="28" spans="1:11" hidden="1" x14ac:dyDescent="0.25">
      <c r="A28" s="2" t="s">
        <v>87</v>
      </c>
      <c r="B28" s="2" t="str">
        <f t="shared" si="0"/>
        <v>EMAAR- Pkg 140-ITP-Mivida</v>
      </c>
      <c r="C28" s="2">
        <v>98</v>
      </c>
      <c r="D28" s="2">
        <v>12</v>
      </c>
      <c r="E28" s="2" t="s">
        <v>88</v>
      </c>
      <c r="F28" s="2" t="s">
        <v>51</v>
      </c>
      <c r="G28" s="2" t="s">
        <v>59</v>
      </c>
      <c r="H28" s="2" t="s">
        <v>514</v>
      </c>
      <c r="I28" s="2" t="s">
        <v>49</v>
      </c>
      <c r="J28" s="2" t="s">
        <v>522</v>
      </c>
      <c r="K28" s="2" t="s">
        <v>521</v>
      </c>
    </row>
    <row r="29" spans="1:11" hidden="1" x14ac:dyDescent="0.25">
      <c r="A29" s="2" t="s">
        <v>206</v>
      </c>
      <c r="B29" s="2" t="str">
        <f t="shared" si="0"/>
        <v>Olympic Multi – Sports Hall</v>
      </c>
      <c r="C29" s="2">
        <v>99</v>
      </c>
      <c r="D29" s="2">
        <v>20</v>
      </c>
      <c r="E29" s="2" t="s">
        <v>207</v>
      </c>
      <c r="F29" s="2" t="s">
        <v>208</v>
      </c>
      <c r="G29" s="2" t="s">
        <v>162</v>
      </c>
      <c r="H29" s="2" t="s">
        <v>518</v>
      </c>
      <c r="I29" s="2" t="s">
        <v>49</v>
      </c>
      <c r="J29" s="2" t="s">
        <v>516</v>
      </c>
      <c r="K29" s="2" t="s">
        <v>538</v>
      </c>
    </row>
    <row r="30" spans="1:11" hidden="1" x14ac:dyDescent="0.25">
      <c r="A30" s="2" t="s">
        <v>325</v>
      </c>
      <c r="B30" s="2" t="str">
        <f t="shared" si="0"/>
        <v>Pyramid tunnel</v>
      </c>
      <c r="C30" s="2">
        <v>101</v>
      </c>
      <c r="D30" s="2">
        <v>74</v>
      </c>
      <c r="E30" s="2" t="s">
        <v>326</v>
      </c>
      <c r="F30" s="2" t="s">
        <v>51</v>
      </c>
      <c r="G30" s="2" t="s">
        <v>165</v>
      </c>
      <c r="H30" s="2" t="s">
        <v>514</v>
      </c>
      <c r="I30" s="2" t="s">
        <v>552</v>
      </c>
      <c r="J30" s="2" t="s">
        <v>49</v>
      </c>
      <c r="K30" s="2" t="s">
        <v>49</v>
      </c>
    </row>
    <row r="31" spans="1:11" hidden="1" x14ac:dyDescent="0.25">
      <c r="A31" s="2" t="s">
        <v>85</v>
      </c>
      <c r="B31" s="2" t="str">
        <f t="shared" si="0"/>
        <v>ELCO STEEL-EGAT</v>
      </c>
      <c r="C31" s="2">
        <v>102</v>
      </c>
      <c r="D31" s="2" t="s">
        <v>49</v>
      </c>
      <c r="E31" s="2" t="s">
        <v>86</v>
      </c>
      <c r="F31" s="2" t="s">
        <v>51</v>
      </c>
      <c r="G31" s="2" t="s">
        <v>76</v>
      </c>
      <c r="H31" s="2" t="s">
        <v>528</v>
      </c>
      <c r="I31" s="2" t="s">
        <v>531</v>
      </c>
      <c r="J31" s="2" t="s">
        <v>530</v>
      </c>
      <c r="K31" s="2" t="s">
        <v>521</v>
      </c>
    </row>
    <row r="32" spans="1:11" hidden="1" x14ac:dyDescent="0.25">
      <c r="A32" s="2" t="s">
        <v>53</v>
      </c>
      <c r="B32" s="2" t="str">
        <f t="shared" si="0"/>
        <v>El Moshier ( Abu Zaid Khedr)</v>
      </c>
      <c r="C32" s="2">
        <v>105</v>
      </c>
      <c r="D32" s="2">
        <v>91</v>
      </c>
      <c r="E32" s="2" t="s">
        <v>54</v>
      </c>
      <c r="F32" s="2" t="s">
        <v>51</v>
      </c>
      <c r="G32" s="2" t="s">
        <v>52</v>
      </c>
      <c r="H32" s="2" t="s">
        <v>514</v>
      </c>
      <c r="I32" s="2" t="s">
        <v>515</v>
      </c>
      <c r="J32" s="2" t="s">
        <v>516</v>
      </c>
      <c r="K32" s="2" t="s">
        <v>538</v>
      </c>
    </row>
    <row r="33" spans="1:11" hidden="1" x14ac:dyDescent="0.25">
      <c r="A33" s="2" t="s">
        <v>302</v>
      </c>
      <c r="B33" s="2" t="str">
        <f t="shared" si="0"/>
        <v>DoubleTree Mangroovy ElGouna</v>
      </c>
      <c r="C33" s="2">
        <v>107</v>
      </c>
      <c r="D33" s="2">
        <v>15</v>
      </c>
      <c r="E33" s="2" t="s">
        <v>303</v>
      </c>
      <c r="F33" s="2" t="s">
        <v>51</v>
      </c>
      <c r="G33" s="2" t="s">
        <v>66</v>
      </c>
      <c r="H33" s="2" t="s">
        <v>518</v>
      </c>
      <c r="I33" s="2" t="s">
        <v>566</v>
      </c>
      <c r="J33" s="2" t="s">
        <v>533</v>
      </c>
      <c r="K33" s="2" t="s">
        <v>534</v>
      </c>
    </row>
    <row r="34" spans="1:11" hidden="1" x14ac:dyDescent="0.25">
      <c r="A34" s="2" t="s">
        <v>257</v>
      </c>
      <c r="B34" s="2" t="str">
        <f t="shared" ref="B34:B65" si="1">TRIM(LEFT(A34,FIND(RIGHT(A34,6),A34)-1))</f>
        <v>HyperOne Zayed Extension</v>
      </c>
      <c r="C34" s="2">
        <v>111</v>
      </c>
      <c r="D34" s="2">
        <v>13</v>
      </c>
      <c r="E34" s="2" t="s">
        <v>258</v>
      </c>
      <c r="F34" s="2" t="s">
        <v>51</v>
      </c>
      <c r="G34" s="2" t="s">
        <v>66</v>
      </c>
      <c r="H34" s="2" t="s">
        <v>518</v>
      </c>
      <c r="I34" s="2" t="s">
        <v>559</v>
      </c>
      <c r="J34" s="2" t="s">
        <v>560</v>
      </c>
      <c r="K34" s="2" t="s">
        <v>521</v>
      </c>
    </row>
    <row r="35" spans="1:11" hidden="1" x14ac:dyDescent="0.25">
      <c r="A35" s="2" t="s">
        <v>100</v>
      </c>
      <c r="B35" s="2" t="str">
        <f t="shared" si="1"/>
        <v>IKEA Extension MoA</v>
      </c>
      <c r="C35" s="2">
        <v>112</v>
      </c>
      <c r="D35" s="2">
        <v>14</v>
      </c>
      <c r="E35" s="2" t="s">
        <v>101</v>
      </c>
      <c r="F35" s="2" t="s">
        <v>51</v>
      </c>
      <c r="G35" s="2" t="s">
        <v>66</v>
      </c>
      <c r="H35" s="2" t="s">
        <v>518</v>
      </c>
      <c r="I35" s="2" t="s">
        <v>519</v>
      </c>
      <c r="J35" s="2" t="s">
        <v>536</v>
      </c>
      <c r="K35" s="2" t="s">
        <v>521</v>
      </c>
    </row>
    <row r="36" spans="1:11" hidden="1" x14ac:dyDescent="0.25">
      <c r="A36" s="2" t="s">
        <v>69</v>
      </c>
      <c r="B36" s="2" t="str">
        <f t="shared" si="1"/>
        <v>CFC Podium 2</v>
      </c>
      <c r="C36" s="2">
        <v>113</v>
      </c>
      <c r="D36" s="2">
        <v>4</v>
      </c>
      <c r="E36" s="2" t="s">
        <v>70</v>
      </c>
      <c r="F36" s="2" t="s">
        <v>51</v>
      </c>
      <c r="G36" s="2" t="s">
        <v>66</v>
      </c>
      <c r="H36" s="2" t="s">
        <v>518</v>
      </c>
      <c r="I36" s="2" t="s">
        <v>519</v>
      </c>
      <c r="J36" s="2" t="s">
        <v>523</v>
      </c>
      <c r="K36" s="2" t="s">
        <v>521</v>
      </c>
    </row>
    <row r="37" spans="1:11" hidden="1" x14ac:dyDescent="0.25">
      <c r="A37" s="2" t="s">
        <v>48</v>
      </c>
      <c r="B37" s="2" t="str">
        <f t="shared" si="1"/>
        <v>ESPIKO Bridge L&amp;L</v>
      </c>
      <c r="C37" s="2">
        <v>116</v>
      </c>
      <c r="D37" s="2" t="s">
        <v>49</v>
      </c>
      <c r="E37" s="2" t="s">
        <v>50</v>
      </c>
      <c r="F37" s="2" t="s">
        <v>51</v>
      </c>
      <c r="G37" s="2" t="s">
        <v>52</v>
      </c>
      <c r="H37" s="2" t="s">
        <v>514</v>
      </c>
      <c r="I37" s="2" t="s">
        <v>515</v>
      </c>
      <c r="J37" s="2" t="s">
        <v>516</v>
      </c>
      <c r="K37" s="2" t="s">
        <v>538</v>
      </c>
    </row>
    <row r="38" spans="1:11" hidden="1" x14ac:dyDescent="0.25">
      <c r="A38" s="2" t="s">
        <v>253</v>
      </c>
      <c r="B38" s="2" t="str">
        <f t="shared" si="1"/>
        <v>ESU Ph2-Enabling &amp; Struc</v>
      </c>
      <c r="C38" s="2">
        <v>119</v>
      </c>
      <c r="D38" s="2">
        <v>10</v>
      </c>
      <c r="E38" s="2" t="s">
        <v>254</v>
      </c>
      <c r="F38" s="2" t="s">
        <v>51</v>
      </c>
      <c r="G38" s="2" t="s">
        <v>66</v>
      </c>
      <c r="H38" s="2" t="s">
        <v>518</v>
      </c>
      <c r="I38" s="2" t="s">
        <v>535</v>
      </c>
      <c r="J38" s="2" t="s">
        <v>533</v>
      </c>
      <c r="K38" s="2" t="s">
        <v>534</v>
      </c>
    </row>
    <row r="39" spans="1:11" x14ac:dyDescent="0.25">
      <c r="A39" s="2" t="s">
        <v>296</v>
      </c>
      <c r="B39" s="2" t="str">
        <f t="shared" si="1"/>
        <v>Mehwar elsalam Lock &amp; Load</v>
      </c>
      <c r="C39" s="2">
        <v>120</v>
      </c>
      <c r="D39" s="2">
        <v>67</v>
      </c>
      <c r="E39" s="2" t="s">
        <v>297</v>
      </c>
      <c r="F39" s="2" t="s">
        <v>51</v>
      </c>
      <c r="G39" s="2" t="s">
        <v>52</v>
      </c>
      <c r="H39" s="2" t="s">
        <v>514</v>
      </c>
      <c r="I39" s="2" t="s">
        <v>515</v>
      </c>
      <c r="J39" s="2" t="s">
        <v>516</v>
      </c>
      <c r="K39" s="2" t="s">
        <v>538</v>
      </c>
    </row>
    <row r="40" spans="1:11" hidden="1" x14ac:dyDescent="0.25">
      <c r="A40" s="2" t="s">
        <v>174</v>
      </c>
      <c r="B40" s="2" t="str">
        <f t="shared" si="1"/>
        <v>EL-Hegaz Square Bridge</v>
      </c>
      <c r="C40" s="2">
        <v>121</v>
      </c>
      <c r="D40" s="2">
        <v>28</v>
      </c>
      <c r="E40" s="2" t="s">
        <v>175</v>
      </c>
      <c r="F40" s="2" t="s">
        <v>176</v>
      </c>
      <c r="G40" s="2" t="s">
        <v>165</v>
      </c>
      <c r="H40" s="2" t="s">
        <v>514</v>
      </c>
      <c r="I40" s="2" t="s">
        <v>552</v>
      </c>
      <c r="J40" s="2" t="s">
        <v>516</v>
      </c>
      <c r="K40" s="2" t="s">
        <v>538</v>
      </c>
    </row>
    <row r="41" spans="1:11" hidden="1" x14ac:dyDescent="0.25">
      <c r="A41" s="2" t="s">
        <v>209</v>
      </c>
      <c r="B41" s="2" t="str">
        <f t="shared" si="1"/>
        <v>RING ROAD MARYOTIA EXPANSION</v>
      </c>
      <c r="C41" s="2">
        <v>122</v>
      </c>
      <c r="D41" s="2">
        <v>26</v>
      </c>
      <c r="E41" s="2" t="s">
        <v>210</v>
      </c>
      <c r="F41" s="2" t="s">
        <v>211</v>
      </c>
      <c r="G41" s="2" t="s">
        <v>165</v>
      </c>
      <c r="H41" s="2" t="s">
        <v>514</v>
      </c>
      <c r="I41" s="2" t="s">
        <v>552</v>
      </c>
      <c r="J41" s="2" t="s">
        <v>555</v>
      </c>
      <c r="K41" s="2" t="s">
        <v>544</v>
      </c>
    </row>
    <row r="42" spans="1:11" hidden="1" x14ac:dyDescent="0.25">
      <c r="A42" s="2" t="s">
        <v>89</v>
      </c>
      <c r="B42" s="2" t="str">
        <f t="shared" si="1"/>
        <v>EMAAR-Pkg#162/163- Marassi</v>
      </c>
      <c r="C42" s="2">
        <v>123</v>
      </c>
      <c r="D42" s="2">
        <v>8</v>
      </c>
      <c r="E42" s="2" t="s">
        <v>90</v>
      </c>
      <c r="F42" s="2" t="s">
        <v>51</v>
      </c>
      <c r="G42" s="2" t="s">
        <v>66</v>
      </c>
      <c r="H42" s="2" t="s">
        <v>514</v>
      </c>
      <c r="I42" s="2" t="s">
        <v>532</v>
      </c>
      <c r="J42" s="2" t="s">
        <v>522</v>
      </c>
      <c r="K42" s="2" t="s">
        <v>521</v>
      </c>
    </row>
    <row r="43" spans="1:11" hidden="1" x14ac:dyDescent="0.25">
      <c r="A43" s="2" t="s">
        <v>212</v>
      </c>
      <c r="B43" s="2" t="str">
        <f t="shared" si="1"/>
        <v>Sultana Malak Restoration</v>
      </c>
      <c r="C43" s="2">
        <v>124</v>
      </c>
      <c r="D43" s="2">
        <v>34</v>
      </c>
      <c r="E43" s="2" t="s">
        <v>213</v>
      </c>
      <c r="F43" s="2" t="s">
        <v>51</v>
      </c>
      <c r="G43" s="2" t="s">
        <v>104</v>
      </c>
      <c r="H43" s="2" t="s">
        <v>537</v>
      </c>
      <c r="I43" s="2" t="s">
        <v>551</v>
      </c>
      <c r="J43" s="2" t="s">
        <v>516</v>
      </c>
      <c r="K43" s="2" t="s">
        <v>538</v>
      </c>
    </row>
    <row r="44" spans="1:11" hidden="1" x14ac:dyDescent="0.25">
      <c r="A44" s="2" t="s">
        <v>259</v>
      </c>
      <c r="B44" s="2" t="str">
        <f t="shared" si="1"/>
        <v>Lekela 250MW Wind Farm</v>
      </c>
      <c r="C44" s="2">
        <v>125</v>
      </c>
      <c r="D44" s="2">
        <v>7</v>
      </c>
      <c r="E44" s="2" t="s">
        <v>260</v>
      </c>
      <c r="F44" s="2" t="s">
        <v>51</v>
      </c>
      <c r="G44" s="2" t="s">
        <v>59</v>
      </c>
      <c r="H44" s="2" t="s">
        <v>528</v>
      </c>
      <c r="I44" s="2" t="s">
        <v>531</v>
      </c>
      <c r="J44" s="2" t="s">
        <v>561</v>
      </c>
      <c r="K44" s="2" t="s">
        <v>521</v>
      </c>
    </row>
    <row r="45" spans="1:11" hidden="1" x14ac:dyDescent="0.25">
      <c r="A45" s="2" t="s">
        <v>115</v>
      </c>
      <c r="B45" s="2" t="str">
        <f t="shared" si="1"/>
        <v>New Giza Teaching Hospital</v>
      </c>
      <c r="C45" s="2">
        <v>126</v>
      </c>
      <c r="D45" s="2">
        <v>110</v>
      </c>
      <c r="E45" s="2" t="s">
        <v>116</v>
      </c>
      <c r="F45" s="2" t="s">
        <v>117</v>
      </c>
      <c r="G45" s="2" t="s">
        <v>107</v>
      </c>
      <c r="H45" s="2" t="s">
        <v>518</v>
      </c>
      <c r="I45" s="2" t="s">
        <v>535</v>
      </c>
      <c r="J45" s="2" t="s">
        <v>542</v>
      </c>
      <c r="K45" s="2" t="s">
        <v>521</v>
      </c>
    </row>
    <row r="46" spans="1:11" hidden="1" x14ac:dyDescent="0.25">
      <c r="A46" s="2" t="s">
        <v>269</v>
      </c>
      <c r="B46" s="2" t="str">
        <f t="shared" si="1"/>
        <v>Kayan Landscape</v>
      </c>
      <c r="C46" s="2">
        <v>127</v>
      </c>
      <c r="D46" s="2">
        <v>25</v>
      </c>
      <c r="E46" s="2" t="s">
        <v>270</v>
      </c>
      <c r="F46" s="2" t="s">
        <v>51</v>
      </c>
      <c r="G46" s="2" t="s">
        <v>162</v>
      </c>
      <c r="H46" s="2" t="s">
        <v>514</v>
      </c>
      <c r="I46" s="2" t="s">
        <v>132</v>
      </c>
      <c r="J46" s="2" t="s">
        <v>516</v>
      </c>
      <c r="K46" s="2" t="s">
        <v>538</v>
      </c>
    </row>
    <row r="47" spans="1:11" hidden="1" x14ac:dyDescent="0.25">
      <c r="A47" s="2" t="s">
        <v>166</v>
      </c>
      <c r="B47" s="2" t="str">
        <f t="shared" si="1"/>
        <v>BridgeNasr Rd w Abbas El-Akkad</v>
      </c>
      <c r="C47" s="2">
        <v>128</v>
      </c>
      <c r="D47" s="2">
        <v>29</v>
      </c>
      <c r="E47" s="2" t="s">
        <v>167</v>
      </c>
      <c r="F47" s="2" t="s">
        <v>51</v>
      </c>
      <c r="G47" s="2" t="s">
        <v>165</v>
      </c>
      <c r="H47" s="2" t="s">
        <v>514</v>
      </c>
      <c r="I47" s="2" t="s">
        <v>552</v>
      </c>
      <c r="J47" s="2" t="s">
        <v>516</v>
      </c>
      <c r="K47" s="2" t="s">
        <v>517</v>
      </c>
    </row>
    <row r="48" spans="1:11" hidden="1" x14ac:dyDescent="0.25">
      <c r="A48" s="2" t="s">
        <v>163</v>
      </c>
      <c r="B48" s="2" t="str">
        <f t="shared" si="1"/>
        <v>Asher Mn Ramadan Bridge No2</v>
      </c>
      <c r="C48" s="2">
        <v>129</v>
      </c>
      <c r="D48" s="2">
        <v>30</v>
      </c>
      <c r="E48" s="2" t="s">
        <v>164</v>
      </c>
      <c r="F48" s="2" t="s">
        <v>51</v>
      </c>
      <c r="G48" s="2" t="s">
        <v>165</v>
      </c>
      <c r="H48" s="2" t="s">
        <v>514</v>
      </c>
      <c r="I48" s="2" t="s">
        <v>552</v>
      </c>
      <c r="J48" s="2" t="s">
        <v>516</v>
      </c>
      <c r="K48" s="2" t="s">
        <v>538</v>
      </c>
    </row>
    <row r="49" spans="1:11" hidden="1" x14ac:dyDescent="0.25">
      <c r="A49" s="2" t="s">
        <v>192</v>
      </c>
      <c r="B49" s="2" t="str">
        <f t="shared" si="1"/>
        <v>Kafr Shokr Bridge</v>
      </c>
      <c r="C49" s="2">
        <v>130</v>
      </c>
      <c r="D49" s="2">
        <v>27</v>
      </c>
      <c r="E49" s="2" t="s">
        <v>193</v>
      </c>
      <c r="F49" s="2" t="s">
        <v>194</v>
      </c>
      <c r="G49" s="2" t="s">
        <v>165</v>
      </c>
      <c r="H49" s="2" t="s">
        <v>514</v>
      </c>
      <c r="I49" s="2" t="s">
        <v>552</v>
      </c>
      <c r="J49" s="2" t="s">
        <v>516</v>
      </c>
      <c r="K49" s="2" t="s">
        <v>538</v>
      </c>
    </row>
    <row r="50" spans="1:11" hidden="1" x14ac:dyDescent="0.25">
      <c r="A50" s="2" t="s">
        <v>185</v>
      </c>
      <c r="B50" s="2" t="str">
        <f t="shared" si="1"/>
        <v>GOV2 - Infra</v>
      </c>
      <c r="C50" s="2">
        <v>133</v>
      </c>
      <c r="D50" s="2">
        <v>22</v>
      </c>
      <c r="E50" s="2" t="s">
        <v>186</v>
      </c>
      <c r="F50" s="2" t="s">
        <v>187</v>
      </c>
      <c r="G50" s="2" t="s">
        <v>328</v>
      </c>
      <c r="H50" s="2" t="s">
        <v>514</v>
      </c>
      <c r="I50" s="2" t="s">
        <v>526</v>
      </c>
      <c r="J50" s="2" t="s">
        <v>554</v>
      </c>
      <c r="K50" s="2" t="s">
        <v>544</v>
      </c>
    </row>
    <row r="51" spans="1:11" hidden="1" x14ac:dyDescent="0.25">
      <c r="A51" s="2" t="s">
        <v>168</v>
      </c>
      <c r="B51" s="2" t="str">
        <f t="shared" si="1"/>
        <v>Cairo-Alex Railway</v>
      </c>
      <c r="C51" s="2">
        <v>134</v>
      </c>
      <c r="D51" s="2">
        <v>18</v>
      </c>
      <c r="E51" s="2" t="s">
        <v>169</v>
      </c>
      <c r="F51" s="2" t="s">
        <v>51</v>
      </c>
      <c r="G51" s="2" t="s">
        <v>170</v>
      </c>
      <c r="H51" s="2" t="s">
        <v>514</v>
      </c>
      <c r="I51" s="2" t="s">
        <v>373</v>
      </c>
      <c r="J51" s="2" t="s">
        <v>553</v>
      </c>
      <c r="K51" s="2" t="s">
        <v>544</v>
      </c>
    </row>
    <row r="52" spans="1:11" hidden="1" x14ac:dyDescent="0.25">
      <c r="A52" s="2" t="s">
        <v>188</v>
      </c>
      <c r="B52" s="2" t="str">
        <f t="shared" si="1"/>
        <v>Hassan El Mamoun Bridge</v>
      </c>
      <c r="C52" s="2">
        <v>135</v>
      </c>
      <c r="D52" s="2">
        <v>32</v>
      </c>
      <c r="E52" s="2" t="s">
        <v>189</v>
      </c>
      <c r="F52" s="2" t="s">
        <v>51</v>
      </c>
      <c r="G52" s="2" t="s">
        <v>165</v>
      </c>
      <c r="H52" s="2" t="s">
        <v>514</v>
      </c>
      <c r="I52" s="2" t="s">
        <v>552</v>
      </c>
      <c r="J52" s="2" t="s">
        <v>516</v>
      </c>
      <c r="K52" s="2" t="s">
        <v>538</v>
      </c>
    </row>
    <row r="53" spans="1:11" hidden="1" x14ac:dyDescent="0.25">
      <c r="A53" s="2" t="s">
        <v>118</v>
      </c>
      <c r="B53" s="2" t="str">
        <f t="shared" si="1"/>
        <v>ORA ZED - Ph 01B - Pkgs A&amp;D</v>
      </c>
      <c r="C53" s="2">
        <v>137</v>
      </c>
      <c r="D53" s="2">
        <v>1</v>
      </c>
      <c r="E53" s="2" t="s">
        <v>119</v>
      </c>
      <c r="F53" s="2" t="s">
        <v>120</v>
      </c>
      <c r="G53" s="2" t="s">
        <v>107</v>
      </c>
      <c r="H53" s="2" t="s">
        <v>539</v>
      </c>
      <c r="I53" s="2" t="s">
        <v>539</v>
      </c>
      <c r="J53" s="2" t="s">
        <v>543</v>
      </c>
      <c r="K53" s="2" t="s">
        <v>521</v>
      </c>
    </row>
    <row r="54" spans="1:11" hidden="1" x14ac:dyDescent="0.25">
      <c r="A54" s="2" t="s">
        <v>105</v>
      </c>
      <c r="B54" s="2" t="str">
        <f t="shared" si="1"/>
        <v>Kattameya Creeks</v>
      </c>
      <c r="C54" s="2">
        <v>138</v>
      </c>
      <c r="D54" s="2">
        <v>6</v>
      </c>
      <c r="E54" s="2" t="s">
        <v>106</v>
      </c>
      <c r="F54" s="2" t="s">
        <v>106</v>
      </c>
      <c r="G54" s="2" t="s">
        <v>107</v>
      </c>
      <c r="H54" s="2" t="s">
        <v>539</v>
      </c>
      <c r="I54" s="2" t="s">
        <v>539</v>
      </c>
      <c r="J54" s="2" t="s">
        <v>540</v>
      </c>
      <c r="K54" s="2" t="s">
        <v>521</v>
      </c>
    </row>
    <row r="55" spans="1:11" hidden="1" x14ac:dyDescent="0.25">
      <c r="A55" s="2" t="s">
        <v>180</v>
      </c>
      <c r="B55" s="2" t="str">
        <f t="shared" si="1"/>
        <v>Faculty of Medicine</v>
      </c>
      <c r="C55" s="2">
        <v>139</v>
      </c>
      <c r="D55" s="2">
        <v>38</v>
      </c>
      <c r="E55" s="2" t="s">
        <v>181</v>
      </c>
      <c r="F55" s="2" t="s">
        <v>182</v>
      </c>
      <c r="G55" s="2" t="s">
        <v>127</v>
      </c>
      <c r="H55" s="2" t="s">
        <v>518</v>
      </c>
      <c r="I55" s="2" t="s">
        <v>535</v>
      </c>
      <c r="J55" s="2" t="s">
        <v>554</v>
      </c>
      <c r="K55" s="2" t="s">
        <v>544</v>
      </c>
    </row>
    <row r="56" spans="1:11" hidden="1" x14ac:dyDescent="0.25">
      <c r="A56" s="2" t="s">
        <v>171</v>
      </c>
      <c r="B56" s="2" t="str">
        <f t="shared" si="1"/>
        <v>Diplomatic District - Infra</v>
      </c>
      <c r="C56" s="2">
        <v>140</v>
      </c>
      <c r="D56" s="2">
        <v>23</v>
      </c>
      <c r="E56" s="2" t="s">
        <v>172</v>
      </c>
      <c r="F56" s="2" t="s">
        <v>173</v>
      </c>
      <c r="G56" s="2" t="s">
        <v>328</v>
      </c>
      <c r="H56" s="2" t="s">
        <v>514</v>
      </c>
      <c r="I56" s="2" t="s">
        <v>526</v>
      </c>
      <c r="J56" s="2" t="s">
        <v>554</v>
      </c>
      <c r="K56" s="2" t="s">
        <v>544</v>
      </c>
    </row>
    <row r="57" spans="1:11" hidden="1" x14ac:dyDescent="0.25">
      <c r="A57" s="2" t="s">
        <v>96</v>
      </c>
      <c r="B57" s="2" t="str">
        <f t="shared" si="1"/>
        <v>ElSewedy HQ Internal Finishing</v>
      </c>
      <c r="C57" s="2">
        <v>141</v>
      </c>
      <c r="D57" s="2">
        <v>5</v>
      </c>
      <c r="E57" s="2" t="s">
        <v>97</v>
      </c>
      <c r="F57" s="2" t="s">
        <v>51</v>
      </c>
      <c r="G57" s="2" t="s">
        <v>66</v>
      </c>
      <c r="H57" s="2" t="s">
        <v>518</v>
      </c>
      <c r="I57" s="2" t="s">
        <v>519</v>
      </c>
      <c r="J57" s="2" t="s">
        <v>533</v>
      </c>
      <c r="K57" s="2" t="s">
        <v>534</v>
      </c>
    </row>
    <row r="58" spans="1:11" hidden="1" x14ac:dyDescent="0.25">
      <c r="A58" s="2" t="s">
        <v>64</v>
      </c>
      <c r="B58" s="2" t="str">
        <f t="shared" si="1"/>
        <v>BKG#178-Lagoon Discharge</v>
      </c>
      <c r="C58" s="2">
        <v>142</v>
      </c>
      <c r="D58" s="2">
        <v>9</v>
      </c>
      <c r="E58" s="2" t="s">
        <v>65</v>
      </c>
      <c r="F58" s="2" t="s">
        <v>51</v>
      </c>
      <c r="G58" s="2" t="s">
        <v>66</v>
      </c>
      <c r="H58" s="2" t="s">
        <v>514</v>
      </c>
      <c r="I58" s="2" t="s">
        <v>49</v>
      </c>
      <c r="J58" s="2" t="s">
        <v>522</v>
      </c>
      <c r="K58" s="2" t="s">
        <v>521</v>
      </c>
    </row>
    <row r="59" spans="1:11" hidden="1" x14ac:dyDescent="0.25">
      <c r="A59" s="2" t="s">
        <v>177</v>
      </c>
      <c r="B59" s="2" t="str">
        <f t="shared" si="1"/>
        <v>El Khatatba Bridge</v>
      </c>
      <c r="C59" s="2">
        <v>143</v>
      </c>
      <c r="D59" s="2">
        <v>37</v>
      </c>
      <c r="E59" s="2" t="s">
        <v>178</v>
      </c>
      <c r="F59" s="2" t="s">
        <v>179</v>
      </c>
      <c r="G59" s="2" t="s">
        <v>165</v>
      </c>
      <c r="H59" s="2" t="s">
        <v>514</v>
      </c>
      <c r="I59" s="2" t="s">
        <v>552</v>
      </c>
      <c r="J59" s="2" t="s">
        <v>555</v>
      </c>
      <c r="K59" s="2" t="s">
        <v>544</v>
      </c>
    </row>
    <row r="60" spans="1:11" hidden="1" x14ac:dyDescent="0.25">
      <c r="A60" s="2" t="s">
        <v>83</v>
      </c>
      <c r="B60" s="2" t="str">
        <f t="shared" si="1"/>
        <v>EGAT Pelletizing Plant</v>
      </c>
      <c r="C60" s="2">
        <v>144</v>
      </c>
      <c r="D60" s="2">
        <v>39</v>
      </c>
      <c r="E60" s="2" t="s">
        <v>84</v>
      </c>
      <c r="F60" s="2" t="s">
        <v>51</v>
      </c>
      <c r="G60" s="2" t="s">
        <v>76</v>
      </c>
      <c r="H60" s="2" t="s">
        <v>528</v>
      </c>
      <c r="I60" s="2" t="s">
        <v>529</v>
      </c>
      <c r="J60" s="2" t="s">
        <v>530</v>
      </c>
      <c r="K60" s="2" t="s">
        <v>521</v>
      </c>
    </row>
    <row r="61" spans="1:11" hidden="1" x14ac:dyDescent="0.25">
      <c r="A61" s="2" t="s">
        <v>145</v>
      </c>
      <c r="B61" s="2" t="str">
        <f t="shared" si="1"/>
        <v>Sokhna Port Expansion</v>
      </c>
      <c r="C61" s="2">
        <v>145</v>
      </c>
      <c r="D61" s="2">
        <v>42</v>
      </c>
      <c r="E61" s="2" t="s">
        <v>146</v>
      </c>
      <c r="F61" s="2" t="s">
        <v>147</v>
      </c>
      <c r="G61" s="2" t="s">
        <v>76</v>
      </c>
      <c r="H61" s="2" t="s">
        <v>514</v>
      </c>
      <c r="I61" s="2" t="s">
        <v>532</v>
      </c>
      <c r="J61" s="2" t="s">
        <v>548</v>
      </c>
      <c r="K61" s="2" t="s">
        <v>544</v>
      </c>
    </row>
    <row r="62" spans="1:11" hidden="1" x14ac:dyDescent="0.25">
      <c r="A62" s="2" t="s">
        <v>153</v>
      </c>
      <c r="B62" s="2" t="str">
        <f t="shared" si="1"/>
        <v>Waldorf Astoria Mock-up Room</v>
      </c>
      <c r="C62" s="2">
        <v>146</v>
      </c>
      <c r="D62" s="2">
        <v>44</v>
      </c>
      <c r="E62" s="2" t="s">
        <v>154</v>
      </c>
      <c r="F62" s="2" t="s">
        <v>51</v>
      </c>
      <c r="G62" s="2" t="s">
        <v>104</v>
      </c>
      <c r="H62" s="2" t="s">
        <v>537</v>
      </c>
      <c r="I62" s="2" t="s">
        <v>551</v>
      </c>
      <c r="J62" s="2" t="s">
        <v>516</v>
      </c>
      <c r="K62" s="2" t="s">
        <v>538</v>
      </c>
    </row>
    <row r="63" spans="1:11" hidden="1" x14ac:dyDescent="0.25">
      <c r="A63" s="2" t="s">
        <v>110</v>
      </c>
      <c r="B63" s="2" t="str">
        <f t="shared" si="1"/>
        <v>MDF Factory</v>
      </c>
      <c r="C63" s="2">
        <v>147</v>
      </c>
      <c r="D63" s="2">
        <v>40</v>
      </c>
      <c r="E63" s="2" t="s">
        <v>111</v>
      </c>
      <c r="F63" s="2" t="s">
        <v>111</v>
      </c>
      <c r="G63" s="2" t="s">
        <v>76</v>
      </c>
      <c r="H63" s="2" t="s">
        <v>528</v>
      </c>
      <c r="I63" s="2" t="s">
        <v>529</v>
      </c>
      <c r="J63" s="2" t="s">
        <v>541</v>
      </c>
      <c r="K63" s="2" t="s">
        <v>521</v>
      </c>
    </row>
    <row r="64" spans="1:11" hidden="1" x14ac:dyDescent="0.25">
      <c r="A64" s="2" t="s">
        <v>128</v>
      </c>
      <c r="B64" s="2" t="str">
        <f t="shared" si="1"/>
        <v>Olympic City Lock&amp;Load</v>
      </c>
      <c r="C64" s="2">
        <v>148</v>
      </c>
      <c r="D64" s="2">
        <v>45</v>
      </c>
      <c r="E64" s="2" t="s">
        <v>129</v>
      </c>
      <c r="F64" s="2" t="s">
        <v>51</v>
      </c>
      <c r="G64" s="2" t="s">
        <v>52</v>
      </c>
      <c r="H64" s="2" t="s">
        <v>514</v>
      </c>
      <c r="I64" s="2" t="s">
        <v>515</v>
      </c>
      <c r="J64" s="2" t="s">
        <v>516</v>
      </c>
      <c r="K64" s="2" t="s">
        <v>538</v>
      </c>
    </row>
    <row r="65" spans="1:11" hidden="1" x14ac:dyDescent="0.25">
      <c r="A65" s="2" t="s">
        <v>195</v>
      </c>
      <c r="B65" s="2" t="str">
        <f t="shared" si="1"/>
        <v>Kemet Building</v>
      </c>
      <c r="C65" s="2">
        <v>149</v>
      </c>
      <c r="D65" s="2">
        <v>41</v>
      </c>
      <c r="E65" s="2" t="s">
        <v>196</v>
      </c>
      <c r="F65" s="2" t="s">
        <v>51</v>
      </c>
      <c r="G65" s="2" t="s">
        <v>197</v>
      </c>
      <c r="H65" s="2" t="s">
        <v>518</v>
      </c>
      <c r="I65" s="2" t="s">
        <v>519</v>
      </c>
      <c r="J65" s="2" t="s">
        <v>556</v>
      </c>
      <c r="K65" s="2" t="s">
        <v>521</v>
      </c>
    </row>
    <row r="66" spans="1:11" hidden="1" x14ac:dyDescent="0.25">
      <c r="A66" s="2" t="s">
        <v>159</v>
      </c>
      <c r="B66" s="2" t="str">
        <f t="shared" ref="B66:B97" si="2">TRIM(LEFT(A66,FIND(RIGHT(A66,6),A66)-1))</f>
        <v>Air Defense College</v>
      </c>
      <c r="C66" s="2">
        <v>150</v>
      </c>
      <c r="D66" s="2">
        <v>46</v>
      </c>
      <c r="E66" s="2" t="s">
        <v>160</v>
      </c>
      <c r="F66" s="2" t="s">
        <v>161</v>
      </c>
      <c r="G66" s="2" t="s">
        <v>162</v>
      </c>
      <c r="H66" s="2" t="s">
        <v>518</v>
      </c>
      <c r="I66" s="2" t="s">
        <v>49</v>
      </c>
      <c r="J66" s="2" t="s">
        <v>516</v>
      </c>
      <c r="K66" s="2" t="s">
        <v>538</v>
      </c>
    </row>
    <row r="67" spans="1:11" hidden="1" x14ac:dyDescent="0.25">
      <c r="A67" s="2" t="s">
        <v>121</v>
      </c>
      <c r="B67" s="2" t="str">
        <f t="shared" si="2"/>
        <v>ORA ZED-Ph 2-Pkgs A&amp;D</v>
      </c>
      <c r="C67" s="2">
        <v>151</v>
      </c>
      <c r="D67" s="2">
        <v>47</v>
      </c>
      <c r="E67" s="2" t="s">
        <v>122</v>
      </c>
      <c r="F67" s="2" t="s">
        <v>123</v>
      </c>
      <c r="G67" s="2" t="s">
        <v>107</v>
      </c>
      <c r="H67" s="2" t="s">
        <v>539</v>
      </c>
      <c r="I67" s="2" t="s">
        <v>539</v>
      </c>
      <c r="J67" s="2" t="s">
        <v>543</v>
      </c>
      <c r="K67" s="2" t="s">
        <v>521</v>
      </c>
    </row>
    <row r="68" spans="1:11" hidden="1" x14ac:dyDescent="0.25">
      <c r="A68" s="2" t="s">
        <v>228</v>
      </c>
      <c r="B68" s="2" t="str">
        <f t="shared" si="2"/>
        <v>HST Bridges-Sokhna &amp; Mahager</v>
      </c>
      <c r="C68" s="2">
        <v>152</v>
      </c>
      <c r="D68" s="2">
        <v>48</v>
      </c>
      <c r="E68" s="2" t="s">
        <v>229</v>
      </c>
      <c r="F68" s="2" t="s">
        <v>230</v>
      </c>
      <c r="G68" s="2" t="s">
        <v>165</v>
      </c>
      <c r="H68" s="2" t="s">
        <v>514</v>
      </c>
      <c r="I68" s="2" t="s">
        <v>552</v>
      </c>
      <c r="J68" s="2" t="s">
        <v>516</v>
      </c>
      <c r="K68" s="2" t="s">
        <v>538</v>
      </c>
    </row>
    <row r="69" spans="1:11" hidden="1" x14ac:dyDescent="0.25">
      <c r="A69" s="2" t="s">
        <v>237</v>
      </c>
      <c r="B69" s="2" t="str">
        <f t="shared" si="2"/>
        <v>October Dry Port Railway</v>
      </c>
      <c r="C69" s="2">
        <v>153</v>
      </c>
      <c r="D69" s="2">
        <v>49</v>
      </c>
      <c r="E69" s="2" t="s">
        <v>238</v>
      </c>
      <c r="F69" s="2" t="s">
        <v>51</v>
      </c>
      <c r="G69" s="2" t="s">
        <v>170</v>
      </c>
      <c r="H69" s="2" t="s">
        <v>514</v>
      </c>
      <c r="I69" s="2" t="s">
        <v>532</v>
      </c>
      <c r="J69" s="2" t="s">
        <v>49</v>
      </c>
      <c r="K69" s="2" t="s">
        <v>521</v>
      </c>
    </row>
    <row r="70" spans="1:11" hidden="1" x14ac:dyDescent="0.25">
      <c r="A70" s="2" t="s">
        <v>249</v>
      </c>
      <c r="B70" s="2" t="str">
        <f t="shared" si="2"/>
        <v>Alfa New Central Labs</v>
      </c>
      <c r="C70" s="2">
        <v>154</v>
      </c>
      <c r="D70" s="2">
        <v>94</v>
      </c>
      <c r="E70" s="2" t="s">
        <v>250</v>
      </c>
      <c r="F70" s="2" t="s">
        <v>51</v>
      </c>
      <c r="G70" s="2" t="s">
        <v>66</v>
      </c>
      <c r="H70" s="2" t="s">
        <v>49</v>
      </c>
      <c r="I70" s="2" t="s">
        <v>49</v>
      </c>
      <c r="J70" s="2" t="s">
        <v>49</v>
      </c>
      <c r="K70" s="2" t="s">
        <v>521</v>
      </c>
    </row>
    <row r="71" spans="1:11" hidden="1" x14ac:dyDescent="0.25">
      <c r="A71" s="2" t="s">
        <v>136</v>
      </c>
      <c r="B71" s="2" t="str">
        <f t="shared" si="2"/>
        <v>R06 Loack &amp; Load</v>
      </c>
      <c r="C71" s="2">
        <v>155</v>
      </c>
      <c r="D71" s="2">
        <v>95</v>
      </c>
      <c r="E71" s="2" t="s">
        <v>137</v>
      </c>
      <c r="F71" s="2" t="s">
        <v>51</v>
      </c>
      <c r="G71" s="2" t="s">
        <v>52</v>
      </c>
      <c r="H71" s="2" t="s">
        <v>514</v>
      </c>
      <c r="I71" s="2" t="s">
        <v>515</v>
      </c>
      <c r="J71" s="2" t="s">
        <v>545</v>
      </c>
      <c r="K71" s="2" t="s">
        <v>544</v>
      </c>
    </row>
    <row r="72" spans="1:11" hidden="1" x14ac:dyDescent="0.25">
      <c r="A72" s="2" t="s">
        <v>155</v>
      </c>
      <c r="B72" s="2" t="str">
        <f t="shared" si="2"/>
        <v>Waslet Om Amar Bridge</v>
      </c>
      <c r="C72" s="2">
        <v>156</v>
      </c>
      <c r="D72" s="2">
        <v>96</v>
      </c>
      <c r="E72" s="2" t="s">
        <v>156</v>
      </c>
      <c r="F72" s="2" t="s">
        <v>51</v>
      </c>
      <c r="G72" s="2" t="s">
        <v>52</v>
      </c>
      <c r="H72" s="2" t="s">
        <v>514</v>
      </c>
      <c r="I72" s="2" t="s">
        <v>552</v>
      </c>
      <c r="J72" s="2" t="s">
        <v>49</v>
      </c>
      <c r="K72" s="2" t="s">
        <v>49</v>
      </c>
    </row>
    <row r="73" spans="1:11" hidden="1" x14ac:dyDescent="0.25">
      <c r="A73" s="2" t="s">
        <v>217</v>
      </c>
      <c r="B73" s="2" t="str">
        <f t="shared" si="2"/>
        <v>Abou Ghaleb Bridge</v>
      </c>
      <c r="C73" s="2">
        <v>157</v>
      </c>
      <c r="D73" s="2">
        <v>102</v>
      </c>
      <c r="E73" s="2" t="s">
        <v>218</v>
      </c>
      <c r="F73" s="2" t="s">
        <v>219</v>
      </c>
      <c r="G73" s="2" t="s">
        <v>165</v>
      </c>
      <c r="H73" s="2" t="s">
        <v>514</v>
      </c>
      <c r="I73" s="2" t="s">
        <v>552</v>
      </c>
      <c r="J73" s="2" t="s">
        <v>516</v>
      </c>
      <c r="K73" s="2" t="s">
        <v>538</v>
      </c>
    </row>
    <row r="74" spans="1:11" hidden="1" x14ac:dyDescent="0.25">
      <c r="A74" s="2" t="s">
        <v>223</v>
      </c>
      <c r="B74" s="2" t="str">
        <f t="shared" si="2"/>
        <v>Egyptian Exchange Building</v>
      </c>
      <c r="C74" s="2">
        <v>158</v>
      </c>
      <c r="D74" s="2">
        <v>97</v>
      </c>
      <c r="E74" s="2" t="s">
        <v>224</v>
      </c>
      <c r="F74" s="2" t="s">
        <v>225</v>
      </c>
      <c r="G74" s="2" t="s">
        <v>197</v>
      </c>
      <c r="H74" s="2" t="s">
        <v>518</v>
      </c>
      <c r="I74" s="2" t="s">
        <v>49</v>
      </c>
      <c r="J74" s="2" t="s">
        <v>516</v>
      </c>
      <c r="K74" s="2" t="s">
        <v>538</v>
      </c>
    </row>
    <row r="75" spans="1:11" hidden="1" x14ac:dyDescent="0.25">
      <c r="A75" s="2" t="s">
        <v>133</v>
      </c>
      <c r="B75" s="2" t="str">
        <f t="shared" si="2"/>
        <v>Port Said Port Silos</v>
      </c>
      <c r="C75" s="2">
        <v>159</v>
      </c>
      <c r="D75" s="2">
        <v>98</v>
      </c>
      <c r="E75" s="2" t="s">
        <v>134</v>
      </c>
      <c r="F75" s="2" t="s">
        <v>135</v>
      </c>
      <c r="G75" s="2" t="s">
        <v>76</v>
      </c>
      <c r="H75" s="2" t="s">
        <v>528</v>
      </c>
      <c r="I75" s="2" t="s">
        <v>135</v>
      </c>
      <c r="J75" s="2" t="s">
        <v>545</v>
      </c>
      <c r="K75" s="2" t="s">
        <v>544</v>
      </c>
    </row>
    <row r="76" spans="1:11" hidden="1" x14ac:dyDescent="0.25">
      <c r="A76" s="2" t="s">
        <v>214</v>
      </c>
      <c r="B76" s="2" t="str">
        <f t="shared" si="2"/>
        <v>The Open Channel Project</v>
      </c>
      <c r="C76" s="2">
        <v>160</v>
      </c>
      <c r="D76" s="2">
        <v>99</v>
      </c>
      <c r="E76" s="2" t="s">
        <v>215</v>
      </c>
      <c r="F76" s="2" t="s">
        <v>216</v>
      </c>
      <c r="G76" s="2" t="s">
        <v>162</v>
      </c>
      <c r="H76" s="2" t="s">
        <v>514</v>
      </c>
      <c r="I76" s="2" t="s">
        <v>216</v>
      </c>
      <c r="J76" s="2" t="s">
        <v>516</v>
      </c>
      <c r="K76" s="2" t="s">
        <v>538</v>
      </c>
    </row>
    <row r="77" spans="1:11" hidden="1" x14ac:dyDescent="0.25">
      <c r="A77" s="2" t="s">
        <v>261</v>
      </c>
      <c r="B77" s="2" t="str">
        <f t="shared" si="2"/>
        <v>Ras El Teen Hangar</v>
      </c>
      <c r="C77" s="2">
        <v>161</v>
      </c>
      <c r="D77" s="2">
        <v>100</v>
      </c>
      <c r="E77" s="2" t="s">
        <v>262</v>
      </c>
      <c r="F77" s="2" t="s">
        <v>51</v>
      </c>
      <c r="G77" s="2" t="s">
        <v>66</v>
      </c>
      <c r="H77" s="2" t="s">
        <v>528</v>
      </c>
      <c r="I77" s="2" t="s">
        <v>562</v>
      </c>
      <c r="J77" s="2" t="s">
        <v>49</v>
      </c>
      <c r="K77" s="2" t="s">
        <v>521</v>
      </c>
    </row>
    <row r="78" spans="1:11" hidden="1" x14ac:dyDescent="0.25">
      <c r="A78" s="2" t="s">
        <v>60</v>
      </c>
      <c r="B78" s="2" t="str">
        <f t="shared" si="2"/>
        <v>Asmarat Roads L&amp;L</v>
      </c>
      <c r="C78" s="2">
        <v>162</v>
      </c>
      <c r="D78" s="2">
        <v>103</v>
      </c>
      <c r="E78" s="2" t="s">
        <v>61</v>
      </c>
      <c r="F78" s="2" t="s">
        <v>51</v>
      </c>
      <c r="G78" s="2" t="s">
        <v>52</v>
      </c>
      <c r="H78" s="2" t="s">
        <v>514</v>
      </c>
      <c r="I78" s="2" t="s">
        <v>515</v>
      </c>
      <c r="J78" s="2" t="s">
        <v>49</v>
      </c>
      <c r="K78" s="2" t="s">
        <v>49</v>
      </c>
    </row>
    <row r="79" spans="1:11" hidden="1" x14ac:dyDescent="0.25">
      <c r="A79" s="2" t="s">
        <v>151</v>
      </c>
      <c r="B79" s="2" t="str">
        <f t="shared" si="2"/>
        <v>Waldorf Astoria Cairo</v>
      </c>
      <c r="C79" s="2">
        <v>164</v>
      </c>
      <c r="D79" s="2">
        <v>105</v>
      </c>
      <c r="E79" s="2" t="s">
        <v>152</v>
      </c>
      <c r="F79" s="2" t="s">
        <v>152</v>
      </c>
      <c r="G79" s="2" t="s">
        <v>330</v>
      </c>
      <c r="H79" s="2" t="s">
        <v>518</v>
      </c>
      <c r="I79" s="2" t="s">
        <v>330</v>
      </c>
      <c r="J79" s="2" t="s">
        <v>550</v>
      </c>
      <c r="K79" s="2" t="s">
        <v>521</v>
      </c>
    </row>
    <row r="80" spans="1:11" hidden="1" x14ac:dyDescent="0.25">
      <c r="A80" s="2" t="s">
        <v>271</v>
      </c>
      <c r="B80" s="2" t="str">
        <f t="shared" si="2"/>
        <v>King Mariout  Bridge'</v>
      </c>
      <c r="C80" s="2">
        <v>165</v>
      </c>
      <c r="D80" s="2">
        <v>106</v>
      </c>
      <c r="E80" s="2" t="s">
        <v>272</v>
      </c>
      <c r="F80" s="2" t="s">
        <v>51</v>
      </c>
      <c r="G80" s="2" t="s">
        <v>165</v>
      </c>
      <c r="H80" s="2" t="s">
        <v>514</v>
      </c>
      <c r="I80" s="2" t="s">
        <v>552</v>
      </c>
      <c r="J80" s="2" t="s">
        <v>516</v>
      </c>
      <c r="K80" s="2" t="s">
        <v>538</v>
      </c>
    </row>
    <row r="81" spans="1:11" x14ac:dyDescent="0.25">
      <c r="A81" s="2" t="s">
        <v>220</v>
      </c>
      <c r="B81" s="2" t="str">
        <f t="shared" si="2"/>
        <v>Alamein Coastal Road Bridge</v>
      </c>
      <c r="C81" s="2">
        <v>166</v>
      </c>
      <c r="D81" s="2">
        <v>107</v>
      </c>
      <c r="E81" s="2" t="s">
        <v>221</v>
      </c>
      <c r="F81" s="2" t="s">
        <v>222</v>
      </c>
      <c r="G81" s="2" t="s">
        <v>165</v>
      </c>
      <c r="H81" s="2" t="s">
        <v>514</v>
      </c>
      <c r="I81" s="2" t="s">
        <v>557</v>
      </c>
      <c r="J81" s="2" t="s">
        <v>516</v>
      </c>
      <c r="K81" s="2" t="s">
        <v>538</v>
      </c>
    </row>
    <row r="82" spans="1:11" hidden="1" x14ac:dyDescent="0.25">
      <c r="A82" s="2" t="s">
        <v>241</v>
      </c>
      <c r="B82" s="2" t="str">
        <f t="shared" si="2"/>
        <v>Wady El Natroon Bridge</v>
      </c>
      <c r="C82" s="2">
        <v>167</v>
      </c>
      <c r="D82" s="2">
        <v>108</v>
      </c>
      <c r="E82" s="2" t="s">
        <v>242</v>
      </c>
      <c r="F82" s="2" t="s">
        <v>243</v>
      </c>
      <c r="G82" s="2" t="s">
        <v>165</v>
      </c>
      <c r="H82" s="2" t="s">
        <v>514</v>
      </c>
      <c r="I82" s="2" t="s">
        <v>552</v>
      </c>
      <c r="J82" s="2" t="s">
        <v>516</v>
      </c>
      <c r="K82" s="2" t="s">
        <v>538</v>
      </c>
    </row>
    <row r="83" spans="1:11" hidden="1" x14ac:dyDescent="0.25">
      <c r="A83" s="2" t="s">
        <v>234</v>
      </c>
      <c r="B83" s="2" t="str">
        <f t="shared" si="2"/>
        <v>HST El Mahager Bridge</v>
      </c>
      <c r="C83" s="2">
        <v>168</v>
      </c>
      <c r="D83" s="2">
        <v>109</v>
      </c>
      <c r="E83" s="2" t="s">
        <v>235</v>
      </c>
      <c r="F83" s="2" t="s">
        <v>236</v>
      </c>
      <c r="G83" s="2" t="s">
        <v>165</v>
      </c>
      <c r="H83" s="2" t="s">
        <v>514</v>
      </c>
      <c r="I83" s="2" t="s">
        <v>552</v>
      </c>
      <c r="J83" s="2" t="s">
        <v>516</v>
      </c>
      <c r="K83" s="2" t="s">
        <v>538</v>
      </c>
    </row>
    <row r="84" spans="1:11" hidden="1" x14ac:dyDescent="0.25">
      <c r="A84" s="2" t="s">
        <v>231</v>
      </c>
      <c r="B84" s="2" t="str">
        <f t="shared" si="2"/>
        <v>HST Culverts</v>
      </c>
      <c r="C84" s="2">
        <v>169</v>
      </c>
      <c r="D84" s="2">
        <v>114</v>
      </c>
      <c r="E84" s="2" t="s">
        <v>232</v>
      </c>
      <c r="F84" s="2" t="s">
        <v>233</v>
      </c>
      <c r="G84" s="2" t="s">
        <v>165</v>
      </c>
      <c r="H84" s="2" t="s">
        <v>514</v>
      </c>
      <c r="I84" s="2" t="s">
        <v>552</v>
      </c>
      <c r="J84" s="2" t="s">
        <v>516</v>
      </c>
      <c r="K84" s="2" t="s">
        <v>538</v>
      </c>
    </row>
    <row r="85" spans="1:11" hidden="1" x14ac:dyDescent="0.25">
      <c r="A85" s="2" t="s">
        <v>112</v>
      </c>
      <c r="B85" s="2" t="str">
        <f t="shared" si="2"/>
        <v>Mivida BP#189</v>
      </c>
      <c r="C85" s="2">
        <v>170</v>
      </c>
      <c r="D85" s="2">
        <v>113</v>
      </c>
      <c r="E85" s="2" t="s">
        <v>113</v>
      </c>
      <c r="F85" s="2" t="s">
        <v>114</v>
      </c>
      <c r="G85" s="2" t="s">
        <v>107</v>
      </c>
      <c r="H85" s="2" t="s">
        <v>539</v>
      </c>
      <c r="I85" s="2" t="s">
        <v>49</v>
      </c>
      <c r="J85" s="2" t="s">
        <v>522</v>
      </c>
      <c r="K85" s="2" t="s">
        <v>521</v>
      </c>
    </row>
    <row r="86" spans="1:11" hidden="1" x14ac:dyDescent="0.25">
      <c r="A86" s="2" t="s">
        <v>77</v>
      </c>
      <c r="B86" s="2" t="str">
        <f t="shared" si="2"/>
        <v>EDNC Hardscape Package</v>
      </c>
      <c r="C86" s="2">
        <v>171</v>
      </c>
      <c r="D86" s="2">
        <v>115</v>
      </c>
      <c r="E86" s="2" t="s">
        <v>78</v>
      </c>
      <c r="F86" s="2" t="s">
        <v>51</v>
      </c>
      <c r="G86" s="2" t="s">
        <v>59</v>
      </c>
      <c r="H86" s="2" t="s">
        <v>514</v>
      </c>
      <c r="I86" s="2" t="s">
        <v>132</v>
      </c>
      <c r="J86" s="2" t="s">
        <v>49</v>
      </c>
      <c r="K86" s="2" t="s">
        <v>49</v>
      </c>
    </row>
    <row r="87" spans="1:11" hidden="1" x14ac:dyDescent="0.25">
      <c r="A87" s="2" t="s">
        <v>94</v>
      </c>
      <c r="B87" s="2" t="str">
        <f t="shared" si="2"/>
        <v>Egat Rolling Mill no.4</v>
      </c>
      <c r="C87" s="2">
        <v>172</v>
      </c>
      <c r="D87" s="2">
        <v>112</v>
      </c>
      <c r="E87" s="2" t="s">
        <v>95</v>
      </c>
      <c r="F87" s="2" t="s">
        <v>51</v>
      </c>
      <c r="G87" s="2" t="s">
        <v>76</v>
      </c>
      <c r="H87" s="2" t="s">
        <v>528</v>
      </c>
      <c r="I87" s="2" t="s">
        <v>529</v>
      </c>
      <c r="J87" s="2" t="s">
        <v>495</v>
      </c>
      <c r="K87" s="2" t="s">
        <v>521</v>
      </c>
    </row>
    <row r="88" spans="1:11" hidden="1" x14ac:dyDescent="0.25">
      <c r="A88" s="2" t="s">
        <v>81</v>
      </c>
      <c r="B88" s="2" t="str">
        <f t="shared" si="2"/>
        <v>EGAT Lock &amp; Load</v>
      </c>
      <c r="C88" s="2">
        <v>173</v>
      </c>
      <c r="D88" s="2">
        <v>111</v>
      </c>
      <c r="E88" s="2" t="s">
        <v>82</v>
      </c>
      <c r="F88" s="2" t="s">
        <v>51</v>
      </c>
      <c r="G88" s="2" t="s">
        <v>76</v>
      </c>
      <c r="H88" s="2" t="s">
        <v>528</v>
      </c>
      <c r="I88" s="2" t="s">
        <v>515</v>
      </c>
      <c r="J88" s="2" t="s">
        <v>495</v>
      </c>
      <c r="K88" s="2" t="s">
        <v>49</v>
      </c>
    </row>
    <row r="89" spans="1:11" hidden="1" x14ac:dyDescent="0.25">
      <c r="A89" s="2" t="s">
        <v>239</v>
      </c>
      <c r="B89" s="2" t="str">
        <f t="shared" si="2"/>
        <v>Qani bay Al rammah Mosque</v>
      </c>
      <c r="C89" s="2">
        <v>174</v>
      </c>
      <c r="D89" s="2">
        <v>116</v>
      </c>
      <c r="E89" s="2" t="s">
        <v>240</v>
      </c>
      <c r="F89" s="2" t="s">
        <v>51</v>
      </c>
      <c r="G89" s="2" t="s">
        <v>104</v>
      </c>
      <c r="H89" s="2" t="s">
        <v>537</v>
      </c>
      <c r="I89" s="2" t="s">
        <v>558</v>
      </c>
      <c r="J89" s="2" t="s">
        <v>516</v>
      </c>
      <c r="K89" s="2" t="s">
        <v>538</v>
      </c>
    </row>
    <row r="90" spans="1:11" hidden="1" x14ac:dyDescent="0.25">
      <c r="A90" s="2" t="s">
        <v>124</v>
      </c>
      <c r="B90" s="2" t="str">
        <f t="shared" si="2"/>
        <v>October Under-Railway Tunnel</v>
      </c>
      <c r="C90" s="2">
        <v>175</v>
      </c>
      <c r="D90" s="2">
        <v>117</v>
      </c>
      <c r="E90" s="2" t="s">
        <v>125</v>
      </c>
      <c r="F90" s="2" t="s">
        <v>126</v>
      </c>
      <c r="G90" s="2" t="s">
        <v>127</v>
      </c>
      <c r="H90" s="2" t="s">
        <v>514</v>
      </c>
      <c r="I90" s="2" t="s">
        <v>552</v>
      </c>
      <c r="J90" s="2" t="s">
        <v>545</v>
      </c>
      <c r="K90" s="2" t="s">
        <v>544</v>
      </c>
    </row>
    <row r="91" spans="1:11" hidden="1" x14ac:dyDescent="0.25">
      <c r="A91" s="2" t="s">
        <v>138</v>
      </c>
      <c r="B91" s="2" t="str">
        <f t="shared" si="2"/>
        <v>Radamis City</v>
      </c>
      <c r="C91" s="2">
        <v>176</v>
      </c>
      <c r="D91" s="2">
        <v>118</v>
      </c>
      <c r="E91" s="2" t="s">
        <v>139</v>
      </c>
      <c r="F91" s="2" t="s">
        <v>140</v>
      </c>
      <c r="G91" s="2" t="s">
        <v>330</v>
      </c>
      <c r="H91" s="2" t="s">
        <v>518</v>
      </c>
      <c r="I91" s="2" t="s">
        <v>330</v>
      </c>
      <c r="J91" s="2" t="s">
        <v>370</v>
      </c>
      <c r="K91" s="2" t="s">
        <v>521</v>
      </c>
    </row>
    <row r="92" spans="1:11" hidden="1" x14ac:dyDescent="0.25">
      <c r="A92" s="2" t="s">
        <v>157</v>
      </c>
      <c r="B92" s="2" t="str">
        <f t="shared" si="2"/>
        <v>SODIC Allegria Villa f100</v>
      </c>
      <c r="C92" s="2">
        <v>177</v>
      </c>
      <c r="D92" s="2">
        <v>122</v>
      </c>
      <c r="E92" s="2" t="s">
        <v>158</v>
      </c>
      <c r="F92" s="2" t="s">
        <v>51</v>
      </c>
      <c r="G92" s="2" t="s">
        <v>66</v>
      </c>
      <c r="H92" s="2" t="s">
        <v>539</v>
      </c>
      <c r="I92" s="2" t="s">
        <v>49</v>
      </c>
      <c r="J92" s="2" t="s">
        <v>49</v>
      </c>
      <c r="K92" s="2" t="s">
        <v>49</v>
      </c>
    </row>
    <row r="93" spans="1:11" hidden="1" x14ac:dyDescent="0.25">
      <c r="A93" s="2" t="s">
        <v>226</v>
      </c>
      <c r="B93" s="2" t="str">
        <f t="shared" si="2"/>
        <v>El- Hussein Mosque</v>
      </c>
      <c r="C93" s="2">
        <v>178</v>
      </c>
      <c r="D93" s="2">
        <v>120</v>
      </c>
      <c r="E93" s="2" t="s">
        <v>227</v>
      </c>
      <c r="F93" s="2" t="s">
        <v>51</v>
      </c>
      <c r="G93" s="2" t="s">
        <v>104</v>
      </c>
      <c r="H93" s="2" t="s">
        <v>537</v>
      </c>
      <c r="I93" s="2" t="s">
        <v>558</v>
      </c>
      <c r="J93" s="2" t="s">
        <v>516</v>
      </c>
      <c r="K93" s="2" t="s">
        <v>538</v>
      </c>
    </row>
    <row r="94" spans="1:11" hidden="1" x14ac:dyDescent="0.25">
      <c r="A94" s="2" t="s">
        <v>102</v>
      </c>
      <c r="B94" s="2" t="str">
        <f t="shared" si="2"/>
        <v>Jawhar Al-Lala Mosque</v>
      </c>
      <c r="C94" s="2">
        <v>179</v>
      </c>
      <c r="D94" s="2">
        <v>119</v>
      </c>
      <c r="E94" s="2" t="s">
        <v>103</v>
      </c>
      <c r="F94" s="2" t="s">
        <v>51</v>
      </c>
      <c r="G94" s="2" t="s">
        <v>104</v>
      </c>
      <c r="H94" s="2" t="s">
        <v>537</v>
      </c>
      <c r="I94" s="2" t="s">
        <v>49</v>
      </c>
      <c r="J94" s="2" t="s">
        <v>516</v>
      </c>
      <c r="K94" s="2" t="s">
        <v>538</v>
      </c>
    </row>
    <row r="95" spans="1:11" hidden="1" x14ac:dyDescent="0.25">
      <c r="A95" s="2" t="s">
        <v>255</v>
      </c>
      <c r="B95" s="2" t="str">
        <f t="shared" si="2"/>
        <v>Endowments Building</v>
      </c>
      <c r="C95" s="2">
        <v>180</v>
      </c>
      <c r="D95" s="2">
        <v>123</v>
      </c>
      <c r="E95" s="2" t="s">
        <v>256</v>
      </c>
      <c r="F95" s="2" t="s">
        <v>51</v>
      </c>
      <c r="G95" s="2" t="s">
        <v>104</v>
      </c>
      <c r="H95" s="2" t="s">
        <v>537</v>
      </c>
      <c r="I95" s="2" t="s">
        <v>49</v>
      </c>
      <c r="J95" s="2" t="s">
        <v>516</v>
      </c>
      <c r="K95" s="2" t="s">
        <v>538</v>
      </c>
    </row>
    <row r="96" spans="1:11" hidden="1" x14ac:dyDescent="0.25">
      <c r="A96" s="2" t="s">
        <v>67</v>
      </c>
      <c r="B96" s="2" t="str">
        <f t="shared" si="2"/>
        <v>Beymen Fit Out</v>
      </c>
      <c r="C96" s="2">
        <v>181</v>
      </c>
      <c r="D96" s="2">
        <v>124</v>
      </c>
      <c r="E96" s="2" t="s">
        <v>68</v>
      </c>
      <c r="F96" s="2" t="s">
        <v>51</v>
      </c>
      <c r="G96" s="2" t="s">
        <v>66</v>
      </c>
      <c r="H96" s="2" t="s">
        <v>49</v>
      </c>
      <c r="I96" s="2" t="s">
        <v>49</v>
      </c>
      <c r="J96" s="2" t="s">
        <v>49</v>
      </c>
      <c r="K96" s="2" t="s">
        <v>49</v>
      </c>
    </row>
    <row r="97" spans="1:11" hidden="1" x14ac:dyDescent="0.25">
      <c r="A97" s="2" t="s">
        <v>62</v>
      </c>
      <c r="B97" s="2" t="str">
        <f t="shared" si="2"/>
        <v>Astoria Sharm elSheikh</v>
      </c>
      <c r="C97" s="2">
        <v>182</v>
      </c>
      <c r="D97" s="2">
        <v>125</v>
      </c>
      <c r="E97" s="2" t="s">
        <v>63</v>
      </c>
      <c r="F97" s="2" t="s">
        <v>51</v>
      </c>
      <c r="G97" s="2" t="s">
        <v>330</v>
      </c>
      <c r="H97" s="2" t="s">
        <v>518</v>
      </c>
      <c r="I97" s="2" t="s">
        <v>330</v>
      </c>
      <c r="J97" s="2" t="s">
        <v>49</v>
      </c>
      <c r="K97" s="2" t="s">
        <v>49</v>
      </c>
    </row>
    <row r="98" spans="1:11" hidden="1" x14ac:dyDescent="0.25">
      <c r="A98" s="2" t="s">
        <v>149</v>
      </c>
      <c r="B98" s="2" t="str">
        <f t="shared" ref="B98:B112" si="3">TRIM(LEFT(A98,FIND(RIGHT(A98,6),A98)-1))</f>
        <v>Wadi Halfa Port</v>
      </c>
      <c r="C98" s="2">
        <v>183</v>
      </c>
      <c r="D98" s="2">
        <v>126</v>
      </c>
      <c r="E98" s="2" t="s">
        <v>150</v>
      </c>
      <c r="F98" s="2" t="s">
        <v>51</v>
      </c>
      <c r="G98" s="2" t="s">
        <v>76</v>
      </c>
      <c r="H98" s="2" t="s">
        <v>514</v>
      </c>
      <c r="I98" s="2" t="s">
        <v>532</v>
      </c>
      <c r="J98" s="2" t="s">
        <v>545</v>
      </c>
      <c r="K98" s="2" t="s">
        <v>544</v>
      </c>
    </row>
    <row r="99" spans="1:11" hidden="1" x14ac:dyDescent="0.25">
      <c r="A99" s="2" t="s">
        <v>568</v>
      </c>
      <c r="B99" s="2" t="str">
        <f t="shared" si="3"/>
        <v>SSC Suez Steel Company Project</v>
      </c>
      <c r="C99" s="2">
        <v>184</v>
      </c>
      <c r="D99" s="2">
        <v>127</v>
      </c>
      <c r="E99" s="2" t="s">
        <v>148</v>
      </c>
      <c r="F99" s="2" t="s">
        <v>51</v>
      </c>
      <c r="G99" s="2" t="s">
        <v>76</v>
      </c>
      <c r="H99" s="2" t="s">
        <v>528</v>
      </c>
      <c r="I99" s="2" t="s">
        <v>49</v>
      </c>
      <c r="J99" s="2" t="s">
        <v>486</v>
      </c>
      <c r="K99" s="2" t="s">
        <v>521</v>
      </c>
    </row>
    <row r="100" spans="1:11" hidden="1" x14ac:dyDescent="0.25">
      <c r="A100" s="2" t="s">
        <v>130</v>
      </c>
      <c r="B100" s="2" t="str">
        <f t="shared" si="3"/>
        <v>Ora Zed Landscape Ph1</v>
      </c>
      <c r="C100" s="2">
        <v>185</v>
      </c>
      <c r="D100" s="2">
        <v>128</v>
      </c>
      <c r="E100" s="2" t="s">
        <v>131</v>
      </c>
      <c r="F100" s="2" t="s">
        <v>132</v>
      </c>
      <c r="G100" s="2" t="s">
        <v>107</v>
      </c>
      <c r="H100" s="2" t="s">
        <v>514</v>
      </c>
      <c r="I100" s="2" t="s">
        <v>132</v>
      </c>
      <c r="J100" s="2" t="s">
        <v>543</v>
      </c>
      <c r="K100" s="2" t="s">
        <v>521</v>
      </c>
    </row>
    <row r="101" spans="1:11" hidden="1" x14ac:dyDescent="0.25">
      <c r="A101" s="2" t="s">
        <v>108</v>
      </c>
      <c r="B101" s="2" t="str">
        <f t="shared" si="3"/>
        <v>L&amp;L El-Awsaty Tunnel</v>
      </c>
      <c r="C101" s="2">
        <v>186</v>
      </c>
      <c r="D101" s="2">
        <v>129</v>
      </c>
      <c r="E101" s="2" t="s">
        <v>109</v>
      </c>
      <c r="F101" s="2" t="s">
        <v>51</v>
      </c>
      <c r="G101" s="2" t="s">
        <v>52</v>
      </c>
      <c r="H101" s="2" t="s">
        <v>514</v>
      </c>
      <c r="I101" s="2" t="s">
        <v>515</v>
      </c>
      <c r="J101" s="2" t="s">
        <v>516</v>
      </c>
      <c r="K101" s="2" t="s">
        <v>538</v>
      </c>
    </row>
    <row r="102" spans="1:11" hidden="1" x14ac:dyDescent="0.25">
      <c r="A102" s="2" t="s">
        <v>91</v>
      </c>
      <c r="B102" s="2" t="str">
        <f t="shared" si="3"/>
        <v>EPICO 3 Facility</v>
      </c>
      <c r="C102" s="2">
        <v>187</v>
      </c>
      <c r="D102" s="2">
        <v>130</v>
      </c>
      <c r="E102" s="2" t="s">
        <v>92</v>
      </c>
      <c r="F102" s="2" t="s">
        <v>93</v>
      </c>
      <c r="G102" s="2" t="s">
        <v>76</v>
      </c>
      <c r="H102" s="2" t="s">
        <v>528</v>
      </c>
      <c r="I102" s="2" t="s">
        <v>529</v>
      </c>
      <c r="J102" s="2" t="s">
        <v>497</v>
      </c>
      <c r="K102" s="2" t="s">
        <v>49</v>
      </c>
    </row>
    <row r="103" spans="1:11" hidden="1" x14ac:dyDescent="0.25">
      <c r="A103" s="2" t="s">
        <v>246</v>
      </c>
      <c r="B103" s="2" t="str">
        <f t="shared" si="3"/>
        <v>Ring Road - El Qawmiya</v>
      </c>
      <c r="C103" s="2">
        <v>188</v>
      </c>
      <c r="D103" s="2">
        <v>131</v>
      </c>
      <c r="E103" s="2" t="s">
        <v>247</v>
      </c>
      <c r="F103" s="2" t="s">
        <v>248</v>
      </c>
      <c r="G103" s="2" t="s">
        <v>165</v>
      </c>
      <c r="H103" s="2" t="s">
        <v>514</v>
      </c>
      <c r="I103" s="2" t="s">
        <v>552</v>
      </c>
      <c r="J103" s="2" t="s">
        <v>516</v>
      </c>
      <c r="K103" s="2" t="s">
        <v>538</v>
      </c>
    </row>
    <row r="104" spans="1:11" hidden="1" x14ac:dyDescent="0.25">
      <c r="A104" s="2" t="s">
        <v>289</v>
      </c>
      <c r="B104" s="2" t="str">
        <f t="shared" si="3"/>
        <v>Ring Road - Service Road</v>
      </c>
      <c r="C104" s="2">
        <v>189</v>
      </c>
      <c r="D104" s="2">
        <v>132</v>
      </c>
      <c r="E104" s="2" t="s">
        <v>290</v>
      </c>
      <c r="F104" s="2" t="s">
        <v>291</v>
      </c>
      <c r="G104" s="2" t="s">
        <v>165</v>
      </c>
      <c r="H104" s="2" t="s">
        <v>514</v>
      </c>
      <c r="I104" s="2" t="s">
        <v>552</v>
      </c>
      <c r="J104" s="2" t="s">
        <v>516</v>
      </c>
      <c r="K104" s="2" t="s">
        <v>517</v>
      </c>
    </row>
    <row r="105" spans="1:11" hidden="1" x14ac:dyDescent="0.25">
      <c r="A105" s="2" t="s">
        <v>285</v>
      </c>
      <c r="B105" s="2" t="str">
        <f t="shared" si="3"/>
        <v>Darb Allabana Bldgs Ph1</v>
      </c>
      <c r="C105" s="2">
        <v>191</v>
      </c>
      <c r="D105" s="2">
        <v>134</v>
      </c>
      <c r="E105" s="2" t="s">
        <v>286</v>
      </c>
      <c r="F105" s="2" t="s">
        <v>51</v>
      </c>
      <c r="G105" s="2" t="s">
        <v>104</v>
      </c>
      <c r="H105" s="2" t="s">
        <v>537</v>
      </c>
      <c r="I105" s="2" t="s">
        <v>49</v>
      </c>
      <c r="J105" s="2" t="s">
        <v>49</v>
      </c>
      <c r="K105" s="2" t="s">
        <v>521</v>
      </c>
    </row>
    <row r="106" spans="1:11" hidden="1" x14ac:dyDescent="0.25">
      <c r="A106" s="2" t="s">
        <v>312</v>
      </c>
      <c r="B106" s="2" t="str">
        <f t="shared" si="3"/>
        <v>Creeks URBN-K</v>
      </c>
      <c r="C106" s="2">
        <v>192</v>
      </c>
      <c r="D106" s="2">
        <v>135</v>
      </c>
      <c r="E106" s="2" t="s">
        <v>313</v>
      </c>
      <c r="F106" s="2" t="s">
        <v>314</v>
      </c>
      <c r="G106" s="2" t="s">
        <v>107</v>
      </c>
      <c r="H106" s="2" t="s">
        <v>518</v>
      </c>
      <c r="I106" s="2" t="s">
        <v>539</v>
      </c>
      <c r="J106" s="2" t="s">
        <v>540</v>
      </c>
      <c r="K106" s="2" t="s">
        <v>521</v>
      </c>
    </row>
    <row r="107" spans="1:11" hidden="1" x14ac:dyDescent="0.25">
      <c r="A107" s="2" t="s">
        <v>273</v>
      </c>
      <c r="B107" s="2" t="str">
        <f t="shared" si="3"/>
        <v>DP World Basin 2 Ph2</v>
      </c>
      <c r="C107" s="2">
        <v>193</v>
      </c>
      <c r="D107" s="2">
        <v>136</v>
      </c>
      <c r="E107" s="2" t="s">
        <v>274</v>
      </c>
      <c r="F107" s="2" t="s">
        <v>275</v>
      </c>
      <c r="G107" s="2" t="s">
        <v>76</v>
      </c>
      <c r="H107" s="2" t="s">
        <v>514</v>
      </c>
      <c r="I107" s="2" t="s">
        <v>49</v>
      </c>
      <c r="J107" s="2" t="s">
        <v>525</v>
      </c>
      <c r="K107" s="2" t="s">
        <v>521</v>
      </c>
    </row>
    <row r="108" spans="1:11" hidden="1" x14ac:dyDescent="0.25">
      <c r="A108" s="2" t="s">
        <v>276</v>
      </c>
      <c r="B108" s="2" t="str">
        <f t="shared" si="3"/>
        <v>Seashell Playa 5 Villas</v>
      </c>
      <c r="C108" s="2">
        <v>194</v>
      </c>
      <c r="D108" s="2">
        <v>137</v>
      </c>
      <c r="E108" s="2" t="s">
        <v>277</v>
      </c>
      <c r="F108" s="2" t="s">
        <v>51</v>
      </c>
      <c r="G108" s="2" t="s">
        <v>278</v>
      </c>
      <c r="H108" s="2" t="s">
        <v>539</v>
      </c>
      <c r="I108" s="2" t="s">
        <v>539</v>
      </c>
      <c r="J108" s="2" t="s">
        <v>542</v>
      </c>
      <c r="K108" s="2" t="s">
        <v>521</v>
      </c>
    </row>
    <row r="109" spans="1:11" hidden="1" x14ac:dyDescent="0.25">
      <c r="A109" s="2" t="s">
        <v>292</v>
      </c>
      <c r="B109" s="2" t="str">
        <f t="shared" si="3"/>
        <v>Abo Shanab El Agamien</v>
      </c>
      <c r="C109" s="2">
        <v>195</v>
      </c>
      <c r="D109" s="2">
        <v>138</v>
      </c>
      <c r="E109" s="2" t="s">
        <v>293</v>
      </c>
      <c r="F109" s="2" t="s">
        <v>293</v>
      </c>
      <c r="G109" s="2" t="s">
        <v>328</v>
      </c>
      <c r="H109" s="2" t="s">
        <v>514</v>
      </c>
      <c r="I109" s="2" t="s">
        <v>49</v>
      </c>
      <c r="J109" s="2" t="s">
        <v>545</v>
      </c>
      <c r="K109" s="2" t="s">
        <v>544</v>
      </c>
    </row>
    <row r="110" spans="1:11" hidden="1" x14ac:dyDescent="0.25">
      <c r="A110" s="2" t="s">
        <v>294</v>
      </c>
      <c r="B110" s="2" t="str">
        <f t="shared" si="3"/>
        <v>MAF HQ Renovation</v>
      </c>
      <c r="C110" s="2">
        <v>196</v>
      </c>
      <c r="D110" s="2">
        <v>139</v>
      </c>
      <c r="E110" s="2" t="s">
        <v>295</v>
      </c>
      <c r="F110" s="2" t="s">
        <v>51</v>
      </c>
      <c r="G110" s="2" t="s">
        <v>66</v>
      </c>
      <c r="H110" s="2" t="s">
        <v>518</v>
      </c>
      <c r="I110" s="2" t="s">
        <v>519</v>
      </c>
      <c r="J110" s="2" t="s">
        <v>565</v>
      </c>
      <c r="K110" s="2" t="s">
        <v>521</v>
      </c>
    </row>
    <row r="111" spans="1:11" hidden="1" x14ac:dyDescent="0.25">
      <c r="A111" s="2" t="s">
        <v>300</v>
      </c>
      <c r="B111" s="2" t="str">
        <f t="shared" si="3"/>
        <v>Tarek AbdelHakim Center</v>
      </c>
      <c r="C111" s="2">
        <v>197</v>
      </c>
      <c r="D111" s="2" t="s">
        <v>49</v>
      </c>
      <c r="E111" s="2" t="s">
        <v>301</v>
      </c>
      <c r="F111" s="2" t="s">
        <v>51</v>
      </c>
      <c r="G111" s="2" t="s">
        <v>104</v>
      </c>
      <c r="H111" s="2" t="s">
        <v>537</v>
      </c>
      <c r="I111" s="2" t="s">
        <v>49</v>
      </c>
      <c r="J111" s="2" t="s">
        <v>49</v>
      </c>
      <c r="K111" s="2" t="s">
        <v>521</v>
      </c>
    </row>
    <row r="112" spans="1:11" hidden="1" x14ac:dyDescent="0.25">
      <c r="A112" s="2" t="s">
        <v>315</v>
      </c>
      <c r="B112" s="2" t="str">
        <f t="shared" si="3"/>
        <v>EGAT Mechanical Installations</v>
      </c>
      <c r="C112" s="2">
        <v>198</v>
      </c>
      <c r="D112" s="2" t="s">
        <v>49</v>
      </c>
      <c r="E112" s="2" t="s">
        <v>316</v>
      </c>
      <c r="F112" s="2" t="s">
        <v>51</v>
      </c>
      <c r="G112" s="2" t="s">
        <v>76</v>
      </c>
      <c r="H112" s="2" t="s">
        <v>528</v>
      </c>
      <c r="I112" s="2" t="s">
        <v>529</v>
      </c>
      <c r="J112" s="2" t="s">
        <v>495</v>
      </c>
      <c r="K112" s="2" t="s">
        <v>521</v>
      </c>
    </row>
    <row r="113" spans="1:11" hidden="1" x14ac:dyDescent="0.25">
      <c r="A113" s="2" t="s">
        <v>319</v>
      </c>
      <c r="B113" s="7" t="s">
        <v>571</v>
      </c>
      <c r="C113" s="2">
        <v>369</v>
      </c>
      <c r="D113" s="2">
        <v>0</v>
      </c>
      <c r="E113" s="2" t="s">
        <v>320</v>
      </c>
      <c r="F113" s="2" t="s">
        <v>51</v>
      </c>
      <c r="G113" s="2" t="s">
        <v>66</v>
      </c>
      <c r="H113" s="2" t="s">
        <v>518</v>
      </c>
      <c r="I113" s="2" t="s">
        <v>535</v>
      </c>
      <c r="J113" s="2" t="s">
        <v>542</v>
      </c>
      <c r="K113" s="2" t="s">
        <v>521</v>
      </c>
    </row>
    <row r="114" spans="1:11" hidden="1" x14ac:dyDescent="0.25">
      <c r="A114" s="2" t="s">
        <v>324</v>
      </c>
      <c r="B114" s="7" t="s">
        <v>570</v>
      </c>
      <c r="C114" s="2">
        <v>446</v>
      </c>
      <c r="D114" s="2" t="s">
        <v>49</v>
      </c>
      <c r="E114" s="2" t="s">
        <v>324</v>
      </c>
      <c r="F114" s="2" t="s">
        <v>51</v>
      </c>
      <c r="G114" s="2" t="s">
        <v>162</v>
      </c>
      <c r="J114" s="2" t="s">
        <v>516</v>
      </c>
      <c r="K114" s="2" t="s">
        <v>538</v>
      </c>
    </row>
    <row r="115" spans="1:11" hidden="1" x14ac:dyDescent="0.25">
      <c r="A115" s="2" t="s">
        <v>244</v>
      </c>
      <c r="B115" s="2" t="str">
        <f>TRIM(LEFT(A115,FIND(RIGHT(A115,6),A115)-1))</f>
        <v>Egypt Mosque</v>
      </c>
      <c r="C115" s="2">
        <v>8013</v>
      </c>
      <c r="D115" s="2" t="s">
        <v>49</v>
      </c>
      <c r="E115" s="2" t="s">
        <v>245</v>
      </c>
      <c r="F115" s="2" t="s">
        <v>51</v>
      </c>
      <c r="G115" s="2" t="s">
        <v>104</v>
      </c>
      <c r="H115" s="2" t="s">
        <v>537</v>
      </c>
      <c r="I115" s="2" t="s">
        <v>558</v>
      </c>
      <c r="J115" s="2" t="s">
        <v>516</v>
      </c>
      <c r="K115" s="2" t="s">
        <v>538</v>
      </c>
    </row>
    <row r="116" spans="1:11" hidden="1" x14ac:dyDescent="0.25">
      <c r="A116" s="2" t="s">
        <v>329</v>
      </c>
      <c r="B116" s="2" t="str">
        <f>TRIM(LEFT(A116,FIND(RIGHT(A116,6),A116)-1))</f>
        <v>Other B</v>
      </c>
      <c r="C116" s="2" t="s">
        <v>49</v>
      </c>
      <c r="D116" s="2" t="s">
        <v>49</v>
      </c>
      <c r="E116" s="2" t="s">
        <v>49</v>
      </c>
      <c r="F116" s="2"/>
      <c r="G116" s="2" t="s">
        <v>165</v>
      </c>
      <c r="H116" s="2" t="s">
        <v>514</v>
      </c>
      <c r="I116" s="2" t="s">
        <v>552</v>
      </c>
      <c r="J116" s="2" t="s">
        <v>49</v>
      </c>
      <c r="K116" s="2" t="s">
        <v>49</v>
      </c>
    </row>
    <row r="117" spans="1:11" hidden="1" x14ac:dyDescent="0.25">
      <c r="A117" s="2" t="s">
        <v>71</v>
      </c>
      <c r="B117" s="7" t="s">
        <v>73</v>
      </c>
      <c r="C117" s="2" t="s">
        <v>72</v>
      </c>
      <c r="D117" s="2">
        <v>101</v>
      </c>
      <c r="E117" s="2" t="s">
        <v>73</v>
      </c>
      <c r="F117" s="2" t="s">
        <v>51</v>
      </c>
      <c r="G117" s="2" t="s">
        <v>59</v>
      </c>
      <c r="H117" s="2" t="s">
        <v>524</v>
      </c>
      <c r="I117" s="2" t="s">
        <v>49</v>
      </c>
      <c r="J117" s="2" t="s">
        <v>49</v>
      </c>
      <c r="K117" s="2" t="s">
        <v>49</v>
      </c>
    </row>
    <row r="118" spans="1:11" hidden="1" x14ac:dyDescent="0.25">
      <c r="A118" s="2" t="s">
        <v>321</v>
      </c>
      <c r="B118" s="2" t="str">
        <f>TRIM(LEFT(A118,FIND(RIGHT(A118,6),A118)-1))</f>
        <v>Ban</v>
      </c>
      <c r="C118" s="2" t="s">
        <v>322</v>
      </c>
      <c r="D118" s="2">
        <v>0</v>
      </c>
      <c r="E118" s="2" t="s">
        <v>323</v>
      </c>
      <c r="F118" s="2" t="s">
        <v>51</v>
      </c>
      <c r="G118" s="2" t="s">
        <v>127</v>
      </c>
      <c r="H118" s="2" t="s">
        <v>528</v>
      </c>
      <c r="I118" s="2" t="s">
        <v>531</v>
      </c>
      <c r="J118" s="2" t="s">
        <v>567</v>
      </c>
      <c r="K118" s="2" t="s">
        <v>544</v>
      </c>
    </row>
    <row r="119" spans="1:11" hidden="1" x14ac:dyDescent="0.25">
      <c r="A119" s="2" t="s">
        <v>572</v>
      </c>
      <c r="B119" s="2" t="str">
        <f t="shared" ref="B119:B123" si="4">TRIM(LEFT(A119,FIND(RIGHT(A119,6),A119)-1))</f>
        <v>Haramein Columns Transfer</v>
      </c>
      <c r="C119" s="2">
        <v>199</v>
      </c>
      <c r="D119" s="2" t="s">
        <v>49</v>
      </c>
      <c r="E119" s="2" t="s">
        <v>577</v>
      </c>
      <c r="F119" s="2"/>
      <c r="G119" s="2"/>
    </row>
    <row r="120" spans="1:11" hidden="1" x14ac:dyDescent="0.25">
      <c r="A120" s="2" t="s">
        <v>573</v>
      </c>
      <c r="B120" s="2" t="str">
        <f t="shared" si="4"/>
        <v>Jawhara Palace Restoratio</v>
      </c>
      <c r="C120" s="2">
        <v>200</v>
      </c>
      <c r="D120" s="2" t="s">
        <v>49</v>
      </c>
      <c r="E120" s="2" t="s">
        <v>578</v>
      </c>
      <c r="F120" s="2"/>
      <c r="G120" s="2" t="s">
        <v>104</v>
      </c>
      <c r="H120" s="2" t="s">
        <v>537</v>
      </c>
      <c r="I120" s="2" t="s">
        <v>551</v>
      </c>
      <c r="J120" s="2" t="s">
        <v>49</v>
      </c>
      <c r="K120" s="2" t="s">
        <v>49</v>
      </c>
    </row>
    <row r="121" spans="1:11" hidden="1" x14ac:dyDescent="0.25">
      <c r="A121" s="2" t="s">
        <v>574</v>
      </c>
      <c r="B121" s="2" t="str">
        <f t="shared" si="4"/>
        <v>Hosh Eissa Hospital</v>
      </c>
      <c r="C121" s="2">
        <v>201</v>
      </c>
      <c r="D121" s="2" t="s">
        <v>49</v>
      </c>
      <c r="E121" s="2" t="s">
        <v>579</v>
      </c>
      <c r="F121" s="2"/>
      <c r="G121" s="2"/>
    </row>
    <row r="122" spans="1:11" hidden="1" x14ac:dyDescent="0.25">
      <c r="A122" s="2" t="s">
        <v>575</v>
      </c>
      <c r="B122" s="2" t="str">
        <f t="shared" si="4"/>
        <v>Mabarra for Girls Orphana</v>
      </c>
      <c r="C122" s="2">
        <v>202</v>
      </c>
      <c r="D122" s="2" t="s">
        <v>49</v>
      </c>
      <c r="E122" s="2" t="s">
        <v>580</v>
      </c>
      <c r="F122" s="2"/>
      <c r="G122" s="2"/>
    </row>
    <row r="123" spans="1:11" hidden="1" x14ac:dyDescent="0.25">
      <c r="A123" s="2" t="s">
        <v>576</v>
      </c>
      <c r="B123" s="2" t="str">
        <f t="shared" si="4"/>
        <v>British International School</v>
      </c>
      <c r="C123" s="2">
        <v>203</v>
      </c>
      <c r="D123" s="2" t="s">
        <v>49</v>
      </c>
      <c r="E123" s="2" t="s">
        <v>581</v>
      </c>
      <c r="F123" s="2"/>
      <c r="G123" s="2" t="s">
        <v>66</v>
      </c>
    </row>
  </sheetData>
  <conditionalFormatting sqref="A118">
    <cfRule type="duplicateValues" dxfId="28" priority="2"/>
  </conditionalFormatting>
  <conditionalFormatting sqref="A119:B1048576">
    <cfRule type="duplicateValues" dxfId="27" priority="6"/>
  </conditionalFormatting>
  <conditionalFormatting sqref="C118">
    <cfRule type="duplicateValues" dxfId="26" priority="1"/>
  </conditionalFormatting>
  <conditionalFormatting sqref="C119:C1048576">
    <cfRule type="duplicateValues" dxfId="25" priority="5"/>
  </conditionalFormatting>
  <conditionalFormatting sqref="A1:B2 A3:A117 B3:B118">
    <cfRule type="duplicateValues" dxfId="24" priority="7"/>
  </conditionalFormatting>
  <conditionalFormatting sqref="C1:C117">
    <cfRule type="duplicateValues" dxfId="23" priority="8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B2CAD-C4F0-44DC-AE80-098230F48D48}">
  <sheetPr codeName="Sheet5"/>
  <dimension ref="A1:I94"/>
  <sheetViews>
    <sheetView tabSelected="1" workbookViewId="0">
      <selection activeCell="F14" sqref="F14"/>
    </sheetView>
  </sheetViews>
  <sheetFormatPr defaultRowHeight="15" x14ac:dyDescent="0.25"/>
  <cols>
    <col min="1" max="1" width="38.28515625" bestFit="1" customWidth="1"/>
    <col min="2" max="2" width="34.85546875" bestFit="1" customWidth="1"/>
    <col min="6" max="6" width="36.5703125" customWidth="1"/>
    <col min="7" max="7" width="22.5703125" bestFit="1" customWidth="1"/>
    <col min="8" max="8" width="19.28515625" customWidth="1"/>
    <col min="9" max="9" width="26.85546875" bestFit="1" customWidth="1"/>
  </cols>
  <sheetData>
    <row r="1" spans="1:9" x14ac:dyDescent="0.25">
      <c r="A1" s="4" t="s">
        <v>380</v>
      </c>
      <c r="B1" s="4" t="s">
        <v>381</v>
      </c>
    </row>
    <row r="2" spans="1:9" x14ac:dyDescent="0.25">
      <c r="A2" s="3" t="s">
        <v>382</v>
      </c>
      <c r="B2" s="3" t="s">
        <v>331</v>
      </c>
      <c r="F2" s="3" t="s">
        <v>420</v>
      </c>
      <c r="G2" s="3" t="str" cm="1">
        <f t="array" ref="G2">collection(F2)</f>
        <v>Ministries Complex</v>
      </c>
      <c r="H2" s="3" t="s">
        <v>197</v>
      </c>
      <c r="I2" s="3">
        <v>60</v>
      </c>
    </row>
    <row r="3" spans="1:9" x14ac:dyDescent="0.25">
      <c r="A3" s="3" t="s">
        <v>383</v>
      </c>
      <c r="B3" s="3" t="s">
        <v>232</v>
      </c>
      <c r="F3" s="3" t="s">
        <v>468</v>
      </c>
      <c r="G3" s="3" t="str" cm="1">
        <f t="array" ref="G3">collection(F3)</f>
        <v>Alamein Coastal Road Bridge</v>
      </c>
      <c r="H3" s="3" t="str" cm="1">
        <f t="array" ref="H3">proj_manager(G3)</f>
        <v>Hussin Bahgat</v>
      </c>
      <c r="I3" s="3" t="str" cm="1">
        <f t="array" ref="I3">cost_center(G3)</f>
        <v>166</v>
      </c>
    </row>
    <row r="4" spans="1:9" x14ac:dyDescent="0.25">
      <c r="A4" s="3" t="s">
        <v>384</v>
      </c>
      <c r="B4" s="3" t="s">
        <v>333</v>
      </c>
      <c r="F4" s="3" t="s">
        <v>382</v>
      </c>
      <c r="G4" s="3" t="str" cm="1">
        <f t="array" ref="G4">collection(F4)</f>
        <v>MDF Factory</v>
      </c>
      <c r="H4" s="3" t="str" cm="1">
        <f t="array" ref="H4">proj_manager(G4)</f>
        <v>Mohamed El Saman</v>
      </c>
      <c r="I4" s="3" t="str" cm="1">
        <f t="array" ref="I4">cost_center(G4)</f>
        <v>147</v>
      </c>
    </row>
    <row r="5" spans="1:9" x14ac:dyDescent="0.25">
      <c r="A5" s="3" t="s">
        <v>385</v>
      </c>
      <c r="B5" s="3" t="s">
        <v>334</v>
      </c>
      <c r="F5" s="3" t="s">
        <v>416</v>
      </c>
      <c r="G5" s="3" t="str" cm="1">
        <f t="array" ref="G5">collection(F5)</f>
        <v>Port Said Port Silos</v>
      </c>
      <c r="H5" s="3" t="str" cm="1">
        <f t="array" ref="H5">proj_manager(G5)</f>
        <v>Mohamed El Saman</v>
      </c>
      <c r="I5" s="3" t="str" cm="1">
        <f t="array" ref="I5">cost_center(G5)</f>
        <v>159</v>
      </c>
    </row>
    <row r="6" spans="1:9" x14ac:dyDescent="0.25">
      <c r="A6" s="3" t="s">
        <v>386</v>
      </c>
      <c r="B6" s="3" t="s">
        <v>125</v>
      </c>
      <c r="F6" s="3" t="s">
        <v>454</v>
      </c>
      <c r="G6" s="3" t="str" cm="1">
        <f t="array" ref="G6">collection(F6)</f>
        <v>Seashell Playa 5 Villas</v>
      </c>
      <c r="H6" s="3" t="str" cm="1">
        <f t="array" ref="H6">proj_manager(G6)</f>
        <v>JV</v>
      </c>
      <c r="I6" s="3" t="str" cm="1">
        <f t="array" ref="I6">cost_center(G6)</f>
        <v>194</v>
      </c>
    </row>
    <row r="7" spans="1:9" x14ac:dyDescent="0.25">
      <c r="A7" s="3" t="s">
        <v>135</v>
      </c>
      <c r="B7" s="3" t="s">
        <v>134</v>
      </c>
      <c r="F7" s="3" t="s">
        <v>417</v>
      </c>
      <c r="G7" s="3" t="str" cm="1">
        <f t="array" ref="G7">collection(F7)</f>
        <v>EPICO 3 Facility</v>
      </c>
      <c r="H7" s="3" t="str" cm="1">
        <f t="array" ref="H7">proj_manager(G7)</f>
        <v>Mohamed El Saman</v>
      </c>
      <c r="I7" s="3" t="str" cm="1">
        <f t="array" ref="I7">cost_center(G7)</f>
        <v>187</v>
      </c>
    </row>
    <row r="8" spans="1:9" x14ac:dyDescent="0.25">
      <c r="A8" s="3" t="s">
        <v>387</v>
      </c>
      <c r="B8" s="3" t="s">
        <v>224</v>
      </c>
      <c r="F8" s="3"/>
      <c r="G8" s="3"/>
      <c r="H8" s="3"/>
      <c r="I8" s="3"/>
    </row>
    <row r="9" spans="1:9" x14ac:dyDescent="0.25">
      <c r="A9" s="3" t="s">
        <v>388</v>
      </c>
      <c r="B9" s="3" t="s">
        <v>335</v>
      </c>
      <c r="F9" s="3"/>
      <c r="G9" s="3"/>
      <c r="H9" s="3"/>
      <c r="I9" s="3"/>
    </row>
    <row r="10" spans="1:9" x14ac:dyDescent="0.25">
      <c r="A10" s="3" t="s">
        <v>389</v>
      </c>
      <c r="B10" s="3" t="s">
        <v>336</v>
      </c>
      <c r="F10" s="3"/>
      <c r="G10" s="3"/>
      <c r="H10" s="3"/>
      <c r="I10" s="3"/>
    </row>
    <row r="11" spans="1:9" x14ac:dyDescent="0.25">
      <c r="A11" s="3" t="s">
        <v>390</v>
      </c>
      <c r="B11" s="3" t="s">
        <v>337</v>
      </c>
      <c r="F11" s="3"/>
      <c r="G11" s="3"/>
      <c r="H11" s="3"/>
      <c r="I11" s="3"/>
    </row>
    <row r="12" spans="1:9" x14ac:dyDescent="0.25">
      <c r="A12" s="3" t="s">
        <v>391</v>
      </c>
      <c r="B12" s="3" t="s">
        <v>97</v>
      </c>
      <c r="F12" s="3"/>
      <c r="G12" s="3"/>
      <c r="H12" s="3"/>
      <c r="I12" s="3"/>
    </row>
    <row r="13" spans="1:9" x14ac:dyDescent="0.25">
      <c r="A13" s="3" t="s">
        <v>392</v>
      </c>
      <c r="B13" s="3" t="s">
        <v>338</v>
      </c>
      <c r="F13" s="3"/>
      <c r="G13" s="3"/>
      <c r="H13" s="3"/>
      <c r="I13" s="3"/>
    </row>
    <row r="14" spans="1:9" x14ac:dyDescent="0.25">
      <c r="A14" s="3" t="s">
        <v>393</v>
      </c>
      <c r="B14" s="3" t="s">
        <v>122</v>
      </c>
      <c r="F14" s="3"/>
      <c r="G14" s="3"/>
      <c r="H14" s="3"/>
      <c r="I14" s="3"/>
    </row>
    <row r="15" spans="1:9" x14ac:dyDescent="0.25">
      <c r="A15" s="3" t="s">
        <v>394</v>
      </c>
      <c r="B15" s="3" t="s">
        <v>134</v>
      </c>
      <c r="F15" s="3"/>
      <c r="G15" s="3"/>
      <c r="H15" s="3"/>
      <c r="I15" s="3"/>
    </row>
    <row r="16" spans="1:9" x14ac:dyDescent="0.25">
      <c r="A16" s="3" t="s">
        <v>395</v>
      </c>
      <c r="B16" s="3" t="s">
        <v>139</v>
      </c>
      <c r="F16" s="3"/>
      <c r="G16" s="3"/>
      <c r="H16" s="3"/>
      <c r="I16" s="3"/>
    </row>
    <row r="17" spans="1:9" x14ac:dyDescent="0.25">
      <c r="A17" s="3" t="s">
        <v>396</v>
      </c>
      <c r="B17" s="3" t="s">
        <v>148</v>
      </c>
      <c r="F17" s="3"/>
      <c r="G17" s="3"/>
      <c r="H17" s="3"/>
      <c r="I17" s="3"/>
    </row>
    <row r="18" spans="1:9" x14ac:dyDescent="0.25">
      <c r="A18" s="3" t="s">
        <v>397</v>
      </c>
      <c r="B18" s="3" t="s">
        <v>339</v>
      </c>
      <c r="F18" s="3"/>
      <c r="G18" s="3"/>
      <c r="H18" s="3"/>
      <c r="I18" s="3"/>
    </row>
    <row r="19" spans="1:9" x14ac:dyDescent="0.25">
      <c r="A19" s="3" t="s">
        <v>398</v>
      </c>
      <c r="B19" s="3" t="s">
        <v>340</v>
      </c>
      <c r="F19" s="3"/>
      <c r="G19" s="3"/>
      <c r="H19" s="3"/>
      <c r="I19" s="3"/>
    </row>
    <row r="20" spans="1:9" x14ac:dyDescent="0.25">
      <c r="A20" s="3" t="s">
        <v>399</v>
      </c>
      <c r="B20" s="3" t="s">
        <v>334</v>
      </c>
      <c r="F20" s="3"/>
      <c r="G20" s="3"/>
      <c r="H20" s="3"/>
      <c r="I20" s="3"/>
    </row>
    <row r="21" spans="1:9" x14ac:dyDescent="0.25">
      <c r="A21" s="3" t="s">
        <v>400</v>
      </c>
      <c r="B21" s="3" t="s">
        <v>332</v>
      </c>
      <c r="F21" s="3"/>
      <c r="G21" s="3"/>
      <c r="H21" s="3"/>
      <c r="I21" s="3"/>
    </row>
    <row r="22" spans="1:9" x14ac:dyDescent="0.25">
      <c r="A22" s="3" t="s">
        <v>401</v>
      </c>
      <c r="B22" s="3" t="s">
        <v>341</v>
      </c>
      <c r="F22" s="3"/>
      <c r="G22" s="3"/>
      <c r="H22" s="3"/>
      <c r="I22" s="3"/>
    </row>
    <row r="23" spans="1:9" x14ac:dyDescent="0.25">
      <c r="A23" s="3" t="s">
        <v>402</v>
      </c>
      <c r="B23" s="3" t="s">
        <v>342</v>
      </c>
      <c r="F23" s="3"/>
      <c r="G23" s="3"/>
      <c r="H23" s="3"/>
      <c r="I23" s="3"/>
    </row>
    <row r="24" spans="1:9" x14ac:dyDescent="0.25">
      <c r="A24" s="3" t="s">
        <v>403</v>
      </c>
      <c r="B24" s="3" t="s">
        <v>343</v>
      </c>
      <c r="F24" s="3"/>
      <c r="G24" s="3"/>
      <c r="H24" s="3"/>
      <c r="I24" s="3"/>
    </row>
    <row r="25" spans="1:9" x14ac:dyDescent="0.25">
      <c r="A25" s="3" t="s">
        <v>404</v>
      </c>
      <c r="B25" s="3" t="s">
        <v>160</v>
      </c>
      <c r="F25" s="3"/>
      <c r="G25" s="3"/>
      <c r="H25" s="3"/>
      <c r="I25" s="3"/>
    </row>
    <row r="26" spans="1:9" x14ac:dyDescent="0.25">
      <c r="A26" s="3" t="s">
        <v>405</v>
      </c>
      <c r="B26" s="3" t="s">
        <v>342</v>
      </c>
      <c r="F26" s="3"/>
      <c r="G26" s="3"/>
      <c r="H26" s="3"/>
      <c r="I26" s="3"/>
    </row>
    <row r="27" spans="1:9" x14ac:dyDescent="0.25">
      <c r="A27" s="3" t="s">
        <v>406</v>
      </c>
      <c r="B27" s="3" t="s">
        <v>342</v>
      </c>
      <c r="F27" s="3"/>
      <c r="G27" s="3"/>
      <c r="H27" s="3"/>
      <c r="I27" s="3"/>
    </row>
    <row r="28" spans="1:9" x14ac:dyDescent="0.25">
      <c r="A28" s="3" t="s">
        <v>407</v>
      </c>
      <c r="B28" s="3" t="s">
        <v>344</v>
      </c>
      <c r="F28" s="3"/>
      <c r="G28" s="3"/>
      <c r="H28" s="3"/>
      <c r="I28" s="3"/>
    </row>
    <row r="29" spans="1:9" x14ac:dyDescent="0.25">
      <c r="A29" s="3" t="s">
        <v>408</v>
      </c>
      <c r="B29" s="3" t="s">
        <v>122</v>
      </c>
      <c r="F29" s="3"/>
      <c r="G29" s="3"/>
      <c r="H29" s="3"/>
      <c r="I29" s="3"/>
    </row>
    <row r="30" spans="1:9" x14ac:dyDescent="0.25">
      <c r="A30" s="3" t="s">
        <v>409</v>
      </c>
      <c r="B30" s="3" t="s">
        <v>338</v>
      </c>
      <c r="F30" s="3"/>
      <c r="G30" s="3"/>
      <c r="H30" s="3"/>
      <c r="I30" s="3"/>
    </row>
    <row r="31" spans="1:9" x14ac:dyDescent="0.25">
      <c r="A31" s="3" t="s">
        <v>410</v>
      </c>
      <c r="B31" s="3" t="s">
        <v>345</v>
      </c>
      <c r="G31" s="3"/>
      <c r="H31" s="3"/>
      <c r="I31" s="3"/>
    </row>
    <row r="32" spans="1:9" x14ac:dyDescent="0.25">
      <c r="A32" s="3" t="s">
        <v>411</v>
      </c>
      <c r="B32" s="3" t="s">
        <v>78</v>
      </c>
      <c r="G32" s="3"/>
      <c r="H32" s="3"/>
      <c r="I32" s="3"/>
    </row>
    <row r="33" spans="1:9" x14ac:dyDescent="0.25">
      <c r="A33" s="3" t="s">
        <v>412</v>
      </c>
      <c r="B33" s="3" t="s">
        <v>337</v>
      </c>
      <c r="G33" s="3"/>
      <c r="H33" s="3"/>
      <c r="I33" s="3"/>
    </row>
    <row r="34" spans="1:9" x14ac:dyDescent="0.25">
      <c r="A34" s="3" t="s">
        <v>413</v>
      </c>
      <c r="B34" s="3" t="s">
        <v>78</v>
      </c>
      <c r="G34" s="3"/>
      <c r="H34" s="3"/>
      <c r="I34" s="3"/>
    </row>
    <row r="35" spans="1:9" x14ac:dyDescent="0.25">
      <c r="A35" s="3" t="s">
        <v>414</v>
      </c>
      <c r="B35" s="3" t="s">
        <v>215</v>
      </c>
      <c r="G35" s="3"/>
      <c r="H35" s="3"/>
      <c r="I35" s="3"/>
    </row>
    <row r="36" spans="1:9" x14ac:dyDescent="0.25">
      <c r="A36" s="3" t="s">
        <v>415</v>
      </c>
      <c r="B36" s="3" t="s">
        <v>346</v>
      </c>
      <c r="G36" s="3"/>
      <c r="H36" s="3"/>
      <c r="I36" s="3"/>
    </row>
    <row r="37" spans="1:9" x14ac:dyDescent="0.25">
      <c r="A37" s="3" t="s">
        <v>416</v>
      </c>
      <c r="B37" s="3" t="s">
        <v>134</v>
      </c>
      <c r="G37" s="3"/>
      <c r="H37" s="3"/>
      <c r="I37" s="3"/>
    </row>
    <row r="38" spans="1:9" x14ac:dyDescent="0.25">
      <c r="A38" s="3" t="s">
        <v>417</v>
      </c>
      <c r="B38" s="3" t="s">
        <v>92</v>
      </c>
      <c r="G38" s="3"/>
      <c r="H38" s="3"/>
      <c r="I38" s="3"/>
    </row>
    <row r="39" spans="1:9" x14ac:dyDescent="0.25">
      <c r="A39" s="3" t="s">
        <v>418</v>
      </c>
      <c r="B39" s="3" t="s">
        <v>97</v>
      </c>
      <c r="G39" s="3"/>
      <c r="H39" s="3"/>
      <c r="I39" s="3"/>
    </row>
    <row r="40" spans="1:9" x14ac:dyDescent="0.25">
      <c r="A40" s="3" t="s">
        <v>419</v>
      </c>
      <c r="B40" s="3" t="s">
        <v>342</v>
      </c>
      <c r="G40" s="3"/>
      <c r="H40" s="3"/>
      <c r="I40" s="3"/>
    </row>
    <row r="41" spans="1:9" x14ac:dyDescent="0.25">
      <c r="A41" s="3" t="s">
        <v>420</v>
      </c>
      <c r="B41" s="3" t="s">
        <v>332</v>
      </c>
      <c r="G41" s="3"/>
      <c r="H41" s="3"/>
      <c r="I41" s="3"/>
    </row>
    <row r="42" spans="1:9" x14ac:dyDescent="0.25">
      <c r="A42" s="3" t="s">
        <v>421</v>
      </c>
      <c r="B42" s="3" t="s">
        <v>221</v>
      </c>
      <c r="G42" s="3"/>
      <c r="H42" s="3"/>
      <c r="I42" s="3"/>
    </row>
    <row r="43" spans="1:9" x14ac:dyDescent="0.25">
      <c r="A43" s="3" t="s">
        <v>422</v>
      </c>
      <c r="B43" s="3" t="s">
        <v>224</v>
      </c>
      <c r="G43" s="3"/>
      <c r="H43" s="3"/>
      <c r="I43" s="3"/>
    </row>
    <row r="44" spans="1:9" x14ac:dyDescent="0.25">
      <c r="A44" s="3" t="s">
        <v>423</v>
      </c>
      <c r="B44" s="3" t="s">
        <v>347</v>
      </c>
      <c r="G44" s="3"/>
      <c r="H44" s="3"/>
      <c r="I44" s="3"/>
    </row>
    <row r="45" spans="1:9" x14ac:dyDescent="0.25">
      <c r="A45" s="3" t="s">
        <v>424</v>
      </c>
      <c r="B45" s="3" t="s">
        <v>347</v>
      </c>
      <c r="G45" s="3"/>
      <c r="H45" s="3"/>
      <c r="I45" s="3"/>
    </row>
    <row r="46" spans="1:9" x14ac:dyDescent="0.25">
      <c r="A46" s="3" t="s">
        <v>425</v>
      </c>
      <c r="B46" s="3" t="s">
        <v>339</v>
      </c>
      <c r="G46" s="3"/>
      <c r="H46" s="3"/>
      <c r="I46" s="3"/>
    </row>
    <row r="47" spans="1:9" x14ac:dyDescent="0.25">
      <c r="A47" s="3" t="s">
        <v>426</v>
      </c>
      <c r="B47" s="3" t="s">
        <v>343</v>
      </c>
      <c r="G47" s="3"/>
      <c r="H47" s="3"/>
      <c r="I47" s="3"/>
    </row>
    <row r="48" spans="1:9" x14ac:dyDescent="0.25">
      <c r="A48" s="3" t="s">
        <v>427</v>
      </c>
      <c r="B48" s="3" t="s">
        <v>332</v>
      </c>
      <c r="G48" s="3"/>
      <c r="H48" s="3"/>
      <c r="I48" s="3"/>
    </row>
    <row r="49" spans="1:9" x14ac:dyDescent="0.25">
      <c r="A49" s="3" t="s">
        <v>428</v>
      </c>
      <c r="B49" t="s">
        <v>186</v>
      </c>
      <c r="G49" s="3"/>
      <c r="H49" s="3"/>
      <c r="I49" s="3"/>
    </row>
    <row r="50" spans="1:9" x14ac:dyDescent="0.25">
      <c r="A50" s="3" t="s">
        <v>429</v>
      </c>
      <c r="B50" s="3" t="s">
        <v>343</v>
      </c>
      <c r="G50" s="3"/>
      <c r="H50" s="3"/>
      <c r="I50" s="3"/>
    </row>
    <row r="51" spans="1:9" x14ac:dyDescent="0.25">
      <c r="A51" s="3" t="s">
        <v>430</v>
      </c>
      <c r="B51" s="3" t="s">
        <v>260</v>
      </c>
      <c r="G51" s="3"/>
      <c r="H51" s="3"/>
      <c r="I51" s="3"/>
    </row>
    <row r="52" spans="1:9" x14ac:dyDescent="0.25">
      <c r="A52" s="3" t="s">
        <v>431</v>
      </c>
      <c r="B52" s="3" t="s">
        <v>336</v>
      </c>
      <c r="G52" s="3"/>
      <c r="H52" s="3"/>
      <c r="I52" s="3"/>
    </row>
    <row r="53" spans="1:9" x14ac:dyDescent="0.25">
      <c r="A53" s="3" t="s">
        <v>432</v>
      </c>
      <c r="B53" s="3" t="s">
        <v>274</v>
      </c>
      <c r="G53" s="3"/>
      <c r="H53" s="3"/>
      <c r="I53" s="3"/>
    </row>
    <row r="54" spans="1:9" x14ac:dyDescent="0.25">
      <c r="A54" s="3" t="s">
        <v>433</v>
      </c>
      <c r="B54" s="3" t="s">
        <v>349</v>
      </c>
      <c r="G54" s="3"/>
      <c r="H54" s="3"/>
      <c r="I54" s="3"/>
    </row>
    <row r="55" spans="1:9" x14ac:dyDescent="0.25">
      <c r="A55" s="3" t="s">
        <v>434</v>
      </c>
      <c r="B55" s="3" t="s">
        <v>150</v>
      </c>
      <c r="G55" s="3"/>
      <c r="H55" s="3"/>
      <c r="I55" s="3"/>
    </row>
    <row r="56" spans="1:9" x14ac:dyDescent="0.25">
      <c r="A56" s="3" t="s">
        <v>435</v>
      </c>
      <c r="B56" s="3" t="s">
        <v>274</v>
      </c>
      <c r="G56" s="3"/>
      <c r="H56" s="3"/>
      <c r="I56" s="3"/>
    </row>
    <row r="57" spans="1:9" x14ac:dyDescent="0.25">
      <c r="A57" s="3" t="s">
        <v>436</v>
      </c>
      <c r="B57" s="3" t="s">
        <v>334</v>
      </c>
      <c r="G57" s="3"/>
      <c r="H57" s="3"/>
      <c r="I57" s="3"/>
    </row>
    <row r="58" spans="1:9" x14ac:dyDescent="0.25">
      <c r="A58" s="3" t="s">
        <v>437</v>
      </c>
      <c r="B58" s="3" t="s">
        <v>242</v>
      </c>
      <c r="G58" s="3"/>
      <c r="H58" s="3"/>
      <c r="I58" s="3"/>
    </row>
    <row r="59" spans="1:9" x14ac:dyDescent="0.25">
      <c r="A59" s="3" t="s">
        <v>438</v>
      </c>
      <c r="B59" s="3" t="s">
        <v>235</v>
      </c>
    </row>
    <row r="60" spans="1:9" x14ac:dyDescent="0.25">
      <c r="A60" s="3" t="s">
        <v>439</v>
      </c>
      <c r="B60" s="3" t="s">
        <v>139</v>
      </c>
    </row>
    <row r="61" spans="1:9" x14ac:dyDescent="0.25">
      <c r="A61" s="3" t="s">
        <v>440</v>
      </c>
      <c r="B61" s="3" t="s">
        <v>213</v>
      </c>
    </row>
    <row r="62" spans="1:9" x14ac:dyDescent="0.25">
      <c r="A62" s="3" t="s">
        <v>441</v>
      </c>
      <c r="B62" s="3" t="s">
        <v>337</v>
      </c>
    </row>
    <row r="63" spans="1:9" x14ac:dyDescent="0.25">
      <c r="A63" s="3" t="s">
        <v>442</v>
      </c>
      <c r="B63" s="3" t="s">
        <v>350</v>
      </c>
    </row>
    <row r="64" spans="1:9" x14ac:dyDescent="0.25">
      <c r="A64" s="3" t="s">
        <v>443</v>
      </c>
      <c r="B64" s="3" t="s">
        <v>351</v>
      </c>
    </row>
    <row r="65" spans="1:2" x14ac:dyDescent="0.25">
      <c r="A65" s="3" t="s">
        <v>444</v>
      </c>
      <c r="B65" s="3" t="s">
        <v>218</v>
      </c>
    </row>
    <row r="66" spans="1:2" x14ac:dyDescent="0.25">
      <c r="A66" s="3" t="s">
        <v>445</v>
      </c>
      <c r="B66" s="3" t="s">
        <v>352</v>
      </c>
    </row>
    <row r="67" spans="1:2" x14ac:dyDescent="0.25">
      <c r="A67" s="3" t="s">
        <v>446</v>
      </c>
      <c r="B67" s="3" t="s">
        <v>352</v>
      </c>
    </row>
    <row r="68" spans="1:2" x14ac:dyDescent="0.25">
      <c r="A68" s="3" t="s">
        <v>447</v>
      </c>
      <c r="B68" s="3" t="s">
        <v>352</v>
      </c>
    </row>
    <row r="69" spans="1:2" x14ac:dyDescent="0.25">
      <c r="A69" s="3" t="s">
        <v>448</v>
      </c>
      <c r="B69" s="3" t="s">
        <v>352</v>
      </c>
    </row>
    <row r="70" spans="1:2" x14ac:dyDescent="0.25">
      <c r="A70" s="3" t="s">
        <v>449</v>
      </c>
      <c r="B70" s="3" t="s">
        <v>352</v>
      </c>
    </row>
    <row r="71" spans="1:2" x14ac:dyDescent="0.25">
      <c r="A71" s="3" t="s">
        <v>450</v>
      </c>
      <c r="B71" s="3" t="s">
        <v>131</v>
      </c>
    </row>
    <row r="72" spans="1:2" x14ac:dyDescent="0.25">
      <c r="A72" s="3" t="s">
        <v>451</v>
      </c>
      <c r="B72" s="3" t="s">
        <v>274</v>
      </c>
    </row>
    <row r="73" spans="1:2" x14ac:dyDescent="0.25">
      <c r="A73" s="3" t="s">
        <v>452</v>
      </c>
      <c r="B73" s="3" t="s">
        <v>277</v>
      </c>
    </row>
    <row r="74" spans="1:2" x14ac:dyDescent="0.25">
      <c r="A74" s="3" t="s">
        <v>453</v>
      </c>
      <c r="B74" s="3" t="s">
        <v>277</v>
      </c>
    </row>
    <row r="75" spans="1:2" x14ac:dyDescent="0.25">
      <c r="A75" s="3" t="s">
        <v>454</v>
      </c>
      <c r="B75" s="3" t="s">
        <v>277</v>
      </c>
    </row>
    <row r="76" spans="1:2" x14ac:dyDescent="0.25">
      <c r="A76" s="3" t="s">
        <v>455</v>
      </c>
      <c r="B76" s="3" t="s">
        <v>210</v>
      </c>
    </row>
    <row r="77" spans="1:2" x14ac:dyDescent="0.25">
      <c r="A77" s="3" t="s">
        <v>456</v>
      </c>
      <c r="B77" s="3" t="s">
        <v>221</v>
      </c>
    </row>
    <row r="78" spans="1:2" x14ac:dyDescent="0.25">
      <c r="A78" s="3" t="s">
        <v>457</v>
      </c>
      <c r="B78" s="3" t="s">
        <v>210</v>
      </c>
    </row>
    <row r="79" spans="1:2" x14ac:dyDescent="0.25">
      <c r="A79" s="3" t="s">
        <v>458</v>
      </c>
      <c r="B79" s="3" t="s">
        <v>61</v>
      </c>
    </row>
    <row r="80" spans="1:2" x14ac:dyDescent="0.25">
      <c r="A80" s="3" t="s">
        <v>459</v>
      </c>
      <c r="B80" s="3" t="s">
        <v>152</v>
      </c>
    </row>
    <row r="81" spans="1:2" x14ac:dyDescent="0.25">
      <c r="A81" s="3" t="s">
        <v>460</v>
      </c>
      <c r="B81" s="3" t="s">
        <v>160</v>
      </c>
    </row>
    <row r="82" spans="1:2" x14ac:dyDescent="0.25">
      <c r="A82" s="3" t="s">
        <v>461</v>
      </c>
      <c r="B82" s="3" t="s">
        <v>353</v>
      </c>
    </row>
    <row r="83" spans="1:2" x14ac:dyDescent="0.25">
      <c r="A83" s="3" t="s">
        <v>462</v>
      </c>
      <c r="B83" s="3" t="s">
        <v>352</v>
      </c>
    </row>
    <row r="84" spans="1:2" x14ac:dyDescent="0.25">
      <c r="A84" s="3" t="s">
        <v>463</v>
      </c>
      <c r="B84" s="3" t="s">
        <v>202</v>
      </c>
    </row>
    <row r="85" spans="1:2" x14ac:dyDescent="0.25">
      <c r="A85" s="3" t="s">
        <v>464</v>
      </c>
      <c r="B85" s="3" t="s">
        <v>374</v>
      </c>
    </row>
    <row r="86" spans="1:2" x14ac:dyDescent="0.25">
      <c r="A86" s="3" t="s">
        <v>465</v>
      </c>
      <c r="B86" s="3" t="s">
        <v>336</v>
      </c>
    </row>
    <row r="87" spans="1:2" x14ac:dyDescent="0.25">
      <c r="A87" s="3" t="s">
        <v>466</v>
      </c>
      <c r="B87" s="3" t="s">
        <v>293</v>
      </c>
    </row>
    <row r="88" spans="1:2" x14ac:dyDescent="0.25">
      <c r="A88" s="3" t="s">
        <v>467</v>
      </c>
      <c r="B88" s="3" t="s">
        <v>103</v>
      </c>
    </row>
    <row r="89" spans="1:2" x14ac:dyDescent="0.25">
      <c r="A89" s="3" t="s">
        <v>468</v>
      </c>
      <c r="B89" s="3" t="s">
        <v>221</v>
      </c>
    </row>
    <row r="90" spans="1:2" x14ac:dyDescent="0.25">
      <c r="A90" s="3" t="s">
        <v>469</v>
      </c>
      <c r="B90" s="3" t="s">
        <v>375</v>
      </c>
    </row>
    <row r="91" spans="1:2" x14ac:dyDescent="0.25">
      <c r="A91" s="3" t="s">
        <v>470</v>
      </c>
      <c r="B91" s="3" t="s">
        <v>356</v>
      </c>
    </row>
    <row r="92" spans="1:2" x14ac:dyDescent="0.25">
      <c r="A92" s="3" t="s">
        <v>122</v>
      </c>
      <c r="B92" s="3" t="s">
        <v>122</v>
      </c>
    </row>
    <row r="93" spans="1:2" x14ac:dyDescent="0.25">
      <c r="A93" s="3" t="s">
        <v>471</v>
      </c>
      <c r="B93" s="3" t="s">
        <v>204</v>
      </c>
    </row>
    <row r="94" spans="1:2" x14ac:dyDescent="0.25">
      <c r="A94" s="3" t="s">
        <v>472</v>
      </c>
      <c r="B94" s="3" t="s">
        <v>377</v>
      </c>
    </row>
  </sheetData>
  <conditionalFormatting sqref="B2:B48 B50:B94">
    <cfRule type="duplicateValues" dxfId="9" priority="1"/>
  </conditionalFormatting>
  <conditionalFormatting sqref="A2:A94">
    <cfRule type="duplicateValues" dxfId="8" priority="2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7C2BC-90B8-4C80-AD7A-A4D3FF3FA8F1}">
  <sheetPr codeName="Sheet1"/>
  <dimension ref="A1:E206"/>
  <sheetViews>
    <sheetView workbookViewId="0">
      <selection activeCell="A36" sqref="A36"/>
    </sheetView>
  </sheetViews>
  <sheetFormatPr defaultRowHeight="15" x14ac:dyDescent="0.25"/>
  <cols>
    <col min="1" max="1" width="31.85546875" bestFit="1" customWidth="1"/>
    <col min="2" max="2" width="25.85546875" bestFit="1" customWidth="1"/>
    <col min="5" max="5" width="15.5703125" bestFit="1" customWidth="1"/>
    <col min="6" max="6" width="23.42578125" bestFit="1" customWidth="1"/>
    <col min="7" max="7" width="25.8554687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  <c r="B3" t="s">
        <v>1</v>
      </c>
    </row>
    <row r="4" spans="1:2" x14ac:dyDescent="0.25">
      <c r="A4" t="s">
        <v>5</v>
      </c>
      <c r="B4" t="s">
        <v>1</v>
      </c>
    </row>
    <row r="5" spans="1:2" x14ac:dyDescent="0.25">
      <c r="A5" t="s">
        <v>6</v>
      </c>
      <c r="B5" t="s">
        <v>3</v>
      </c>
    </row>
    <row r="6" spans="1:2" x14ac:dyDescent="0.25">
      <c r="A6" t="s">
        <v>7</v>
      </c>
      <c r="B6" t="s">
        <v>8</v>
      </c>
    </row>
    <row r="7" spans="1:2" x14ac:dyDescent="0.25">
      <c r="A7" t="s">
        <v>9</v>
      </c>
      <c r="B7" t="s">
        <v>1</v>
      </c>
    </row>
    <row r="8" spans="1:2" x14ac:dyDescent="0.25">
      <c r="A8" t="s">
        <v>10</v>
      </c>
      <c r="B8" t="s">
        <v>3</v>
      </c>
    </row>
    <row r="9" spans="1:2" x14ac:dyDescent="0.25">
      <c r="A9" t="s">
        <v>11</v>
      </c>
      <c r="B9" t="s">
        <v>1</v>
      </c>
    </row>
    <row r="10" spans="1:2" x14ac:dyDescent="0.25">
      <c r="A10" t="s">
        <v>12</v>
      </c>
      <c r="B10" t="s">
        <v>1</v>
      </c>
    </row>
    <row r="11" spans="1:2" x14ac:dyDescent="0.25">
      <c r="A11" t="s">
        <v>13</v>
      </c>
      <c r="B11" t="s">
        <v>3</v>
      </c>
    </row>
    <row r="12" spans="1:2" x14ac:dyDescent="0.25">
      <c r="A12" t="s">
        <v>14</v>
      </c>
      <c r="B12" t="s">
        <v>15</v>
      </c>
    </row>
    <row r="13" spans="1:2" x14ac:dyDescent="0.25">
      <c r="A13" t="s">
        <v>16</v>
      </c>
      <c r="B13" t="s">
        <v>1</v>
      </c>
    </row>
    <row r="14" spans="1:2" x14ac:dyDescent="0.25">
      <c r="A14" t="s">
        <v>17</v>
      </c>
      <c r="B14" t="s">
        <v>3</v>
      </c>
    </row>
    <row r="15" spans="1:2" x14ac:dyDescent="0.25">
      <c r="A15" t="s">
        <v>18</v>
      </c>
      <c r="B15" t="s">
        <v>3</v>
      </c>
    </row>
    <row r="16" spans="1:2" x14ac:dyDescent="0.25">
      <c r="A16" t="s">
        <v>19</v>
      </c>
      <c r="B16" t="s">
        <v>3</v>
      </c>
    </row>
    <row r="17" spans="1:2" x14ac:dyDescent="0.25">
      <c r="A17" t="s">
        <v>20</v>
      </c>
      <c r="B17" t="s">
        <v>3</v>
      </c>
    </row>
    <row r="18" spans="1:2" x14ac:dyDescent="0.25">
      <c r="A18" t="s">
        <v>21</v>
      </c>
      <c r="B18" t="s">
        <v>3</v>
      </c>
    </row>
    <row r="19" spans="1:2" x14ac:dyDescent="0.25">
      <c r="A19" t="s">
        <v>22</v>
      </c>
      <c r="B19" t="s">
        <v>1</v>
      </c>
    </row>
    <row r="20" spans="1:2" x14ac:dyDescent="0.25">
      <c r="A20" t="s">
        <v>23</v>
      </c>
      <c r="B20" t="s">
        <v>3</v>
      </c>
    </row>
    <row r="21" spans="1:2" x14ac:dyDescent="0.25">
      <c r="A21" t="s">
        <v>24</v>
      </c>
      <c r="B21" t="s">
        <v>3</v>
      </c>
    </row>
    <row r="22" spans="1:2" x14ac:dyDescent="0.25">
      <c r="A22" t="s">
        <v>25</v>
      </c>
      <c r="B22" t="s">
        <v>3</v>
      </c>
    </row>
    <row r="23" spans="1:2" x14ac:dyDescent="0.25">
      <c r="A23" t="s">
        <v>26</v>
      </c>
      <c r="B23" t="s">
        <v>3</v>
      </c>
    </row>
    <row r="24" spans="1:2" x14ac:dyDescent="0.25">
      <c r="A24" t="s">
        <v>27</v>
      </c>
      <c r="B24" t="s">
        <v>1</v>
      </c>
    </row>
    <row r="206" spans="5:5" x14ac:dyDescent="0.25">
      <c r="E206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1BDB0-C179-4A1D-AE8D-9A5D164FC655}">
  <sheetPr codeName="Sheet3"/>
  <dimension ref="A1:M357"/>
  <sheetViews>
    <sheetView workbookViewId="0">
      <selection activeCell="B2" sqref="B2"/>
    </sheetView>
  </sheetViews>
  <sheetFormatPr defaultRowHeight="15" x14ac:dyDescent="0.25"/>
  <cols>
    <col min="1" max="1" width="20.5703125" customWidth="1"/>
    <col min="2" max="2" width="24.7109375" customWidth="1"/>
    <col min="6" max="6" width="34.85546875" bestFit="1" customWidth="1"/>
    <col min="7" max="7" width="14.42578125" bestFit="1" customWidth="1"/>
    <col min="9" max="9" width="28.7109375" bestFit="1" customWidth="1"/>
    <col min="12" max="12" width="32" bestFit="1" customWidth="1"/>
  </cols>
  <sheetData>
    <row r="1" spans="1:13" x14ac:dyDescent="0.25">
      <c r="A1" s="2" t="s">
        <v>35</v>
      </c>
      <c r="B1" s="2" t="s">
        <v>36</v>
      </c>
    </row>
    <row r="2" spans="1:13" x14ac:dyDescent="0.25">
      <c r="A2" t="s">
        <v>26</v>
      </c>
      <c r="B2" t="str" cm="1">
        <f t="array" ref="B2">categorize(Table2[[#This Row],[Input Here]])</f>
        <v/>
      </c>
      <c r="F2" t="s">
        <v>331</v>
      </c>
      <c r="G2" s="3" t="str" cm="1">
        <f t="array" ref="G2">cost_center(F2)</f>
        <v>147</v>
      </c>
      <c r="I2" t="s">
        <v>358</v>
      </c>
      <c r="J2" s="3" t="str" cm="1">
        <f t="array" ref="J2">cost_center(I2)</f>
        <v>145</v>
      </c>
      <c r="L2" t="s">
        <v>92</v>
      </c>
      <c r="M2" t="str" cm="1">
        <f t="array" ref="M2">cost_center(L2)</f>
        <v>187</v>
      </c>
    </row>
    <row r="3" spans="1:13" x14ac:dyDescent="0.25">
      <c r="A3" t="s">
        <v>26</v>
      </c>
      <c r="B3" t="str" cm="1">
        <f t="array" ref="B3">categorize(Table2[[#This Row],[Input Here]])</f>
        <v/>
      </c>
      <c r="F3" t="s">
        <v>332</v>
      </c>
      <c r="G3" s="3" t="str" cm="1">
        <f t="array" ref="G3">cost_center(F3)</f>
        <v>-</v>
      </c>
      <c r="I3" t="s">
        <v>135</v>
      </c>
      <c r="J3" s="3">
        <v>159</v>
      </c>
      <c r="L3" t="s">
        <v>92</v>
      </c>
      <c r="M3" t="str" cm="1">
        <f t="array" ref="M3">cost_center(L3)</f>
        <v>187</v>
      </c>
    </row>
    <row r="4" spans="1:13" x14ac:dyDescent="0.25">
      <c r="A4" t="s">
        <v>26</v>
      </c>
      <c r="B4" t="str" cm="1">
        <f t="array" ref="B4">categorize(Table2[[#This Row],[Input Here]])</f>
        <v/>
      </c>
      <c r="F4" t="s">
        <v>148</v>
      </c>
      <c r="G4" s="3" t="str" cm="1">
        <f t="array" ref="G4">cost_center(F4)</f>
        <v>69</v>
      </c>
      <c r="I4" t="s">
        <v>359</v>
      </c>
      <c r="J4" s="3">
        <v>193</v>
      </c>
      <c r="L4" t="s">
        <v>331</v>
      </c>
      <c r="M4" t="str" cm="1">
        <f t="array" ref="M4">cost_center(L4)</f>
        <v>147</v>
      </c>
    </row>
    <row r="5" spans="1:13" x14ac:dyDescent="0.25">
      <c r="A5" t="s">
        <v>26</v>
      </c>
      <c r="B5" t="str" cm="1">
        <f t="array" ref="B5">categorize(Table2[[#This Row],[Input Here]])</f>
        <v/>
      </c>
      <c r="F5" t="s">
        <v>232</v>
      </c>
      <c r="G5" s="3" t="str" cm="1">
        <f t="array" ref="G5">cost_center(F5)</f>
        <v>169</v>
      </c>
      <c r="I5" t="s">
        <v>93</v>
      </c>
      <c r="J5" s="3">
        <v>187</v>
      </c>
      <c r="L5" t="s">
        <v>334</v>
      </c>
      <c r="M5" t="str" cm="1">
        <f t="array" ref="M5">cost_center(L5)</f>
        <v>139</v>
      </c>
    </row>
    <row r="6" spans="1:13" x14ac:dyDescent="0.25">
      <c r="A6" t="s">
        <v>26</v>
      </c>
      <c r="B6" t="str" cm="1">
        <f t="array" ref="B6">categorize(Table2[[#This Row],[Input Here]])</f>
        <v/>
      </c>
      <c r="F6" t="s">
        <v>333</v>
      </c>
      <c r="G6" s="3" t="str" cm="1">
        <f t="array" ref="G6">cost_center(F6)</f>
        <v>170</v>
      </c>
      <c r="I6" t="s">
        <v>360</v>
      </c>
      <c r="J6" s="3">
        <v>69</v>
      </c>
      <c r="L6" t="s">
        <v>374</v>
      </c>
      <c r="M6" t="str" cm="1">
        <f t="array" ref="M6">cost_center(L6)</f>
        <v>153</v>
      </c>
    </row>
    <row r="7" spans="1:13" x14ac:dyDescent="0.25">
      <c r="A7" t="s">
        <v>26</v>
      </c>
      <c r="B7" t="str" cm="1">
        <f t="array" ref="B7">categorize(Table2[[#This Row],[Input Here]])</f>
        <v/>
      </c>
      <c r="F7" t="s">
        <v>334</v>
      </c>
      <c r="G7" s="3" t="str" cm="1">
        <f t="array" ref="G7">cost_center(F7)</f>
        <v>139</v>
      </c>
      <c r="I7" t="s">
        <v>361</v>
      </c>
      <c r="J7" s="3" t="str" cm="1">
        <f t="array" ref="J7">cost_center(I7)</f>
        <v>183</v>
      </c>
      <c r="L7" t="s">
        <v>344</v>
      </c>
      <c r="M7" t="str" cm="1">
        <f t="array" ref="M7">cost_center(L7)</f>
        <v>138</v>
      </c>
    </row>
    <row r="8" spans="1:13" x14ac:dyDescent="0.25">
      <c r="A8" t="s">
        <v>26</v>
      </c>
      <c r="B8" t="str" cm="1">
        <f t="array" ref="B8">categorize(Table2[[#This Row],[Input Here]])</f>
        <v/>
      </c>
      <c r="F8" t="s">
        <v>125</v>
      </c>
      <c r="G8" s="3" t="str" cm="1">
        <f t="array" ref="G8">cost_center(F8)</f>
        <v>175</v>
      </c>
      <c r="I8" t="s">
        <v>111</v>
      </c>
      <c r="J8" s="3">
        <v>147</v>
      </c>
      <c r="L8" t="s">
        <v>344</v>
      </c>
      <c r="M8" t="str" cm="1">
        <f t="array" ref="M8">cost_center(L8)</f>
        <v>138</v>
      </c>
    </row>
    <row r="9" spans="1:13" x14ac:dyDescent="0.25">
      <c r="A9" t="s">
        <v>26</v>
      </c>
      <c r="B9" t="str" cm="1">
        <f t="array" ref="B9">categorize(Table2[[#This Row],[Input Here]])</f>
        <v/>
      </c>
      <c r="F9" t="s">
        <v>134</v>
      </c>
      <c r="G9" s="3" t="str" cm="1">
        <f t="array" ref="G9">cost_center(F9)</f>
        <v>159</v>
      </c>
      <c r="I9" t="s">
        <v>173</v>
      </c>
      <c r="J9" s="3" t="str" cm="1">
        <f t="array" ref="J9">cost_center(I9)</f>
        <v>140</v>
      </c>
      <c r="L9" t="s">
        <v>336</v>
      </c>
      <c r="M9" t="str" cm="1">
        <f t="array" ref="M9">cost_center(L9)</f>
        <v>144</v>
      </c>
    </row>
    <row r="10" spans="1:13" x14ac:dyDescent="0.25">
      <c r="A10" t="s">
        <v>24</v>
      </c>
      <c r="B10" t="str" cm="1">
        <f t="array" ref="B10">categorize(Table2[[#This Row],[Input Here]])</f>
        <v/>
      </c>
      <c r="F10" t="s">
        <v>224</v>
      </c>
      <c r="G10" s="3" t="str" cm="1">
        <f t="array" ref="G10">cost_center(F10)</f>
        <v>158</v>
      </c>
      <c r="I10" t="s">
        <v>187</v>
      </c>
      <c r="J10" s="3" t="str" cm="1">
        <f t="array" ref="J10">cost_center(I10)</f>
        <v>133</v>
      </c>
      <c r="L10" t="s">
        <v>336</v>
      </c>
      <c r="M10" t="str" cm="1">
        <f t="array" ref="M10">cost_center(L10)</f>
        <v>144</v>
      </c>
    </row>
    <row r="11" spans="1:13" x14ac:dyDescent="0.25">
      <c r="A11" t="s">
        <v>39</v>
      </c>
      <c r="B11" t="str" cm="1">
        <f t="array" ref="B11">categorize(Table2[[#This Row],[Input Here]])</f>
        <v/>
      </c>
      <c r="F11" t="s">
        <v>335</v>
      </c>
      <c r="G11" s="3">
        <v>173</v>
      </c>
      <c r="I11" t="s">
        <v>182</v>
      </c>
      <c r="J11" s="3">
        <v>139</v>
      </c>
      <c r="L11" t="s">
        <v>293</v>
      </c>
      <c r="M11" t="str" cm="1">
        <f t="array" ref="M11">cost_center(L11)</f>
        <v>195</v>
      </c>
    </row>
    <row r="12" spans="1:13" x14ac:dyDescent="0.25">
      <c r="A12" t="s">
        <v>39</v>
      </c>
      <c r="B12" t="str" cm="1">
        <f t="array" ref="B12">categorize(Table2[[#This Row],[Input Here]])</f>
        <v/>
      </c>
      <c r="F12" t="s">
        <v>336</v>
      </c>
      <c r="G12" s="3" t="str" cm="1">
        <f t="array" ref="G12">cost_center(F12)</f>
        <v>144</v>
      </c>
      <c r="I12" t="s">
        <v>125</v>
      </c>
      <c r="J12" s="3" t="str" cm="1">
        <f t="array" ref="J12">cost_center(I12)</f>
        <v>175</v>
      </c>
      <c r="L12" t="s">
        <v>293</v>
      </c>
      <c r="M12" t="str" cm="1">
        <f t="array" ref="M12">cost_center(L12)</f>
        <v>195</v>
      </c>
    </row>
    <row r="13" spans="1:13" x14ac:dyDescent="0.25">
      <c r="A13" t="s">
        <v>39</v>
      </c>
      <c r="B13" t="str" cm="1">
        <f t="array" ref="B13">categorize(Table2[[#This Row],[Input Here]])</f>
        <v/>
      </c>
      <c r="F13" t="s">
        <v>337</v>
      </c>
      <c r="G13" s="3" t="str" cm="1">
        <f t="array" ref="G13">cost_center(F13)</f>
        <v>83</v>
      </c>
      <c r="I13" t="s">
        <v>205</v>
      </c>
      <c r="J13" s="3">
        <v>88</v>
      </c>
      <c r="L13" t="s">
        <v>347</v>
      </c>
      <c r="M13" t="str" cm="1">
        <f t="array" ref="M13">cost_center(L13)</f>
        <v>130</v>
      </c>
    </row>
    <row r="14" spans="1:13" x14ac:dyDescent="0.25">
      <c r="A14" t="s">
        <v>39</v>
      </c>
      <c r="B14" t="str" cm="1">
        <f t="array" ref="B14">categorize(Table2[[#This Row],[Input Here]])</f>
        <v/>
      </c>
      <c r="F14" t="s">
        <v>97</v>
      </c>
      <c r="G14" s="3" t="str" cm="1">
        <f t="array" ref="G14">cost_center(F14)</f>
        <v>141</v>
      </c>
      <c r="I14" t="s">
        <v>293</v>
      </c>
      <c r="J14" s="3" t="str" cm="1">
        <f t="array" ref="J14">cost_center(I14)</f>
        <v>195</v>
      </c>
      <c r="L14" t="s">
        <v>122</v>
      </c>
      <c r="M14" t="str" cm="1">
        <f t="array" ref="M14">cost_center(L14)</f>
        <v>151</v>
      </c>
    </row>
    <row r="15" spans="1:13" x14ac:dyDescent="0.25">
      <c r="A15" t="s">
        <v>39</v>
      </c>
      <c r="B15" t="str" cm="1">
        <f t="array" ref="B15">categorize(Table2[[#This Row],[Input Here]])</f>
        <v/>
      </c>
      <c r="F15" t="s">
        <v>338</v>
      </c>
      <c r="G15" s="3" t="str" cm="1">
        <f t="array" ref="G15">cost_center(F15)</f>
        <v>137</v>
      </c>
      <c r="I15" t="s">
        <v>106</v>
      </c>
      <c r="J15" s="3">
        <v>138</v>
      </c>
      <c r="L15" t="s">
        <v>122</v>
      </c>
      <c r="M15" t="str" cm="1">
        <f t="array" ref="M15">cost_center(L15)</f>
        <v>151</v>
      </c>
    </row>
    <row r="16" spans="1:13" x14ac:dyDescent="0.25">
      <c r="A16" t="s">
        <v>41</v>
      </c>
      <c r="B16" t="str" cm="1">
        <f t="array" ref="B16">categorize(Table2[[#This Row],[Input Here]])</f>
        <v/>
      </c>
      <c r="F16" t="s">
        <v>122</v>
      </c>
      <c r="G16" s="3" t="str" cm="1">
        <f t="array" ref="G16">cost_center(F16)</f>
        <v>151</v>
      </c>
      <c r="I16" t="s">
        <v>362</v>
      </c>
      <c r="J16" s="3">
        <v>192</v>
      </c>
      <c r="L16" t="s">
        <v>338</v>
      </c>
      <c r="M16" t="str" cm="1">
        <f t="array" ref="M16">cost_center(L16)</f>
        <v>137</v>
      </c>
    </row>
    <row r="17" spans="1:13" x14ac:dyDescent="0.25">
      <c r="A17" t="s">
        <v>24</v>
      </c>
      <c r="B17" t="str" cm="1">
        <f t="array" ref="B17">categorize(Table2[[#This Row],[Input Here]])</f>
        <v/>
      </c>
      <c r="F17" t="s">
        <v>139</v>
      </c>
      <c r="G17" s="3" t="str" cm="1">
        <f t="array" ref="G17">cost_center(F17)</f>
        <v>176</v>
      </c>
      <c r="I17" t="s">
        <v>120</v>
      </c>
      <c r="J17" s="3">
        <v>137</v>
      </c>
      <c r="L17" t="s">
        <v>342</v>
      </c>
      <c r="M17" t="str" cm="1">
        <f t="array" ref="M17">cost_center(L17)</f>
        <v>99</v>
      </c>
    </row>
    <row r="18" spans="1:13" x14ac:dyDescent="0.25">
      <c r="A18" t="s">
        <v>24</v>
      </c>
      <c r="B18" t="str" cm="1">
        <f t="array" ref="B18">categorize(Table2[[#This Row],[Input Here]])</f>
        <v/>
      </c>
      <c r="F18" t="s">
        <v>339</v>
      </c>
      <c r="G18" s="3" t="str" cm="1">
        <f t="array" ref="G18">cost_center(F18)</f>
        <v>145</v>
      </c>
      <c r="I18" t="s">
        <v>123</v>
      </c>
      <c r="J18" s="3">
        <v>151</v>
      </c>
      <c r="L18" t="s">
        <v>103</v>
      </c>
      <c r="M18" t="str" cm="1">
        <f t="array" ref="M18">cost_center(L18)</f>
        <v>179</v>
      </c>
    </row>
    <row r="19" spans="1:13" x14ac:dyDescent="0.25">
      <c r="A19" t="s">
        <v>24</v>
      </c>
      <c r="B19" t="str" cm="1">
        <f t="array" ref="B19">categorize(Table2[[#This Row],[Input Here]])</f>
        <v/>
      </c>
      <c r="F19" t="s">
        <v>340</v>
      </c>
      <c r="G19" s="3" t="str" cm="1">
        <f t="array" ref="G19">cost_center(F19)</f>
        <v>134</v>
      </c>
      <c r="I19" t="s">
        <v>363</v>
      </c>
      <c r="J19" s="3" t="str" cm="1">
        <f t="array" ref="J19">cost_center(I19)</f>
        <v>127</v>
      </c>
      <c r="L19" t="s">
        <v>342</v>
      </c>
      <c r="M19" t="str" cm="1">
        <f t="array" ref="M19">cost_center(L19)</f>
        <v>99</v>
      </c>
    </row>
    <row r="20" spans="1:13" x14ac:dyDescent="0.25">
      <c r="A20" t="s">
        <v>24</v>
      </c>
      <c r="B20" t="str" cm="1">
        <f t="array" ref="B20">categorize(Table2[[#This Row],[Input Here]])</f>
        <v/>
      </c>
      <c r="F20" t="s">
        <v>341</v>
      </c>
      <c r="G20" s="3">
        <v>88</v>
      </c>
      <c r="I20" t="s">
        <v>117</v>
      </c>
      <c r="J20" s="3">
        <v>126</v>
      </c>
      <c r="L20" t="s">
        <v>221</v>
      </c>
      <c r="M20" t="str" cm="1">
        <f t="array" ref="M20">cost_center(L20)</f>
        <v>166</v>
      </c>
    </row>
    <row r="21" spans="1:13" x14ac:dyDescent="0.25">
      <c r="A21" t="s">
        <v>24</v>
      </c>
      <c r="B21" t="str" cm="1">
        <f t="array" ref="B21">categorize(Table2[[#This Row],[Input Here]])</f>
        <v/>
      </c>
      <c r="F21" t="s">
        <v>342</v>
      </c>
      <c r="G21" s="3" t="str" cm="1">
        <f t="array" ref="G21">cost_center(F21)</f>
        <v>99</v>
      </c>
      <c r="I21" t="s">
        <v>364</v>
      </c>
      <c r="J21" s="3">
        <v>170</v>
      </c>
      <c r="L21" t="s">
        <v>375</v>
      </c>
      <c r="M21" t="s">
        <v>379</v>
      </c>
    </row>
    <row r="22" spans="1:13" x14ac:dyDescent="0.25">
      <c r="A22" t="s">
        <v>24</v>
      </c>
      <c r="B22" t="str" cm="1">
        <f t="array" ref="B22">categorize(Table2[[#This Row],[Input Here]])</f>
        <v/>
      </c>
      <c r="F22" t="s">
        <v>343</v>
      </c>
      <c r="G22" s="3">
        <v>446</v>
      </c>
      <c r="I22" t="s">
        <v>365</v>
      </c>
      <c r="J22" s="3">
        <v>60</v>
      </c>
      <c r="L22" t="s">
        <v>347</v>
      </c>
      <c r="M22" t="str" cm="1">
        <f t="array" ref="M22">cost_center(L22)</f>
        <v>130</v>
      </c>
    </row>
    <row r="23" spans="1:13" x14ac:dyDescent="0.25">
      <c r="A23" t="s">
        <v>24</v>
      </c>
      <c r="B23" t="str" cm="1">
        <f t="array" ref="B23">categorize(Table2[[#This Row],[Input Here]])</f>
        <v/>
      </c>
      <c r="F23" t="s">
        <v>160</v>
      </c>
      <c r="G23" s="3" t="str" cm="1">
        <f t="array" ref="G23">cost_center(F23)</f>
        <v>150</v>
      </c>
      <c r="I23" t="s">
        <v>366</v>
      </c>
      <c r="J23" s="3">
        <v>158</v>
      </c>
      <c r="L23" t="s">
        <v>331</v>
      </c>
      <c r="M23" t="str" cm="1">
        <f t="array" ref="M23">cost_center(L23)</f>
        <v>147</v>
      </c>
    </row>
    <row r="24" spans="1:13" x14ac:dyDescent="0.25">
      <c r="A24" t="s">
        <v>24</v>
      </c>
      <c r="B24" t="str" cm="1">
        <f t="array" ref="B24">categorize(Table2[[#This Row],[Input Here]])</f>
        <v/>
      </c>
      <c r="F24" t="s">
        <v>344</v>
      </c>
      <c r="G24" s="3" t="str" cm="1">
        <f t="array" ref="G24">cost_center(F24)</f>
        <v>138</v>
      </c>
      <c r="I24" t="s">
        <v>367</v>
      </c>
      <c r="J24" s="3">
        <v>99</v>
      </c>
      <c r="L24" t="s">
        <v>134</v>
      </c>
      <c r="M24" t="str" cm="1">
        <f t="array" ref="M24">cost_center(L24)</f>
        <v>159</v>
      </c>
    </row>
    <row r="25" spans="1:13" x14ac:dyDescent="0.25">
      <c r="A25" t="s">
        <v>24</v>
      </c>
      <c r="B25" t="str" cm="1">
        <f t="array" ref="B25">categorize(Table2[[#This Row],[Input Here]])</f>
        <v/>
      </c>
      <c r="F25" t="s">
        <v>345</v>
      </c>
      <c r="G25" s="3" t="str" cm="1">
        <f t="array" ref="G25">cost_center(F25)</f>
        <v>126</v>
      </c>
      <c r="I25" t="s">
        <v>368</v>
      </c>
      <c r="J25" s="3">
        <v>150</v>
      </c>
      <c r="L25" t="s">
        <v>134</v>
      </c>
      <c r="M25" t="str" cm="1">
        <f t="array" ref="M25">cost_center(L25)</f>
        <v>159</v>
      </c>
    </row>
    <row r="26" spans="1:13" x14ac:dyDescent="0.25">
      <c r="A26" t="s">
        <v>10</v>
      </c>
      <c r="B26" t="str" cm="1">
        <f t="array" ref="B26">categorize(Table2[[#This Row],[Input Here]])</f>
        <v/>
      </c>
      <c r="F26" t="s">
        <v>78</v>
      </c>
      <c r="G26" s="3" t="str" cm="1">
        <f t="array" ref="G26">cost_center(F26)</f>
        <v>127</v>
      </c>
      <c r="I26" t="s">
        <v>216</v>
      </c>
      <c r="J26" s="3">
        <v>160</v>
      </c>
      <c r="L26" t="s">
        <v>332</v>
      </c>
      <c r="M26" t="str" cm="1">
        <f t="array" ref="M26">cost_center(L26)</f>
        <v>-</v>
      </c>
    </row>
    <row r="27" spans="1:13" x14ac:dyDescent="0.25">
      <c r="A27" t="s">
        <v>10</v>
      </c>
      <c r="B27" t="str" cm="1">
        <f t="array" ref="B27">categorize(Table2[[#This Row],[Input Here]])</f>
        <v/>
      </c>
      <c r="F27" t="s">
        <v>215</v>
      </c>
      <c r="G27" s="3" t="str" cm="1">
        <f t="array" ref="G27">cost_center(F27)</f>
        <v>160</v>
      </c>
      <c r="I27" t="s">
        <v>369</v>
      </c>
      <c r="J27" s="3" t="str" cm="1">
        <f t="array" ref="J27">cost_center(I27)</f>
        <v>164</v>
      </c>
      <c r="L27" t="s">
        <v>274</v>
      </c>
      <c r="M27" t="str" cm="1">
        <f t="array" ref="M27">cost_center(L27)</f>
        <v>193</v>
      </c>
    </row>
    <row r="28" spans="1:13" x14ac:dyDescent="0.25">
      <c r="A28" t="s">
        <v>10</v>
      </c>
      <c r="B28" t="str" cm="1">
        <f t="array" ref="B28">categorize(Table2[[#This Row],[Input Here]])</f>
        <v/>
      </c>
      <c r="F28" t="s">
        <v>346</v>
      </c>
      <c r="G28" s="3" t="str" cm="1">
        <f t="array" ref="G28">cost_center(F28)</f>
        <v>172</v>
      </c>
      <c r="I28" t="s">
        <v>370</v>
      </c>
      <c r="J28" s="3">
        <v>176</v>
      </c>
      <c r="L28" t="s">
        <v>356</v>
      </c>
      <c r="M28" t="s">
        <v>379</v>
      </c>
    </row>
    <row r="29" spans="1:13" x14ac:dyDescent="0.25">
      <c r="A29" t="s">
        <v>10</v>
      </c>
      <c r="B29" t="str" cm="1">
        <f t="array" ref="B29">categorize(Table2[[#This Row],[Input Here]])</f>
        <v/>
      </c>
      <c r="F29" t="s">
        <v>92</v>
      </c>
      <c r="G29" s="3" t="str" cm="1">
        <f t="array" ref="G29">cost_center(F29)</f>
        <v>187</v>
      </c>
      <c r="I29" t="s">
        <v>371</v>
      </c>
      <c r="J29" s="3" t="str" cm="1">
        <f t="array" ref="J29">cost_center(I29)</f>
        <v>170</v>
      </c>
      <c r="L29" t="s">
        <v>333</v>
      </c>
      <c r="M29" t="str" cm="1">
        <f t="array" ref="M29">cost_center(L29)</f>
        <v>170</v>
      </c>
    </row>
    <row r="30" spans="1:13" x14ac:dyDescent="0.25">
      <c r="A30" t="s">
        <v>10</v>
      </c>
      <c r="B30" t="str" cm="1">
        <f t="array" ref="B30">categorize(Table2[[#This Row],[Input Here]])</f>
        <v/>
      </c>
      <c r="F30" t="s">
        <v>221</v>
      </c>
      <c r="G30" s="3" t="str" cm="1">
        <f t="array" ref="G30">cost_center(F30)</f>
        <v>166</v>
      </c>
      <c r="I30" t="s">
        <v>372</v>
      </c>
      <c r="J30" s="3" t="str" cm="1">
        <f t="array" ref="J30">cost_center(I30)</f>
        <v>-</v>
      </c>
      <c r="L30" t="s">
        <v>242</v>
      </c>
      <c r="M30" t="str" cm="1">
        <f t="array" ref="M30">cost_center(L30)</f>
        <v>167</v>
      </c>
    </row>
    <row r="31" spans="1:13" x14ac:dyDescent="0.25">
      <c r="A31" t="s">
        <v>24</v>
      </c>
      <c r="B31" t="str" cm="1">
        <f t="array" ref="B31">categorize(Table2[[#This Row],[Input Here]])</f>
        <v/>
      </c>
      <c r="F31" t="s">
        <v>347</v>
      </c>
      <c r="G31" s="3" t="str" cm="1">
        <f t="array" ref="G31">cost_center(F31)</f>
        <v>130</v>
      </c>
      <c r="I31" t="s">
        <v>373</v>
      </c>
      <c r="J31" s="3">
        <v>175</v>
      </c>
      <c r="L31" t="s">
        <v>235</v>
      </c>
      <c r="M31" t="str" cm="1">
        <f t="array" ref="M31">cost_center(L31)</f>
        <v>168</v>
      </c>
    </row>
    <row r="32" spans="1:13" x14ac:dyDescent="0.25">
      <c r="A32" t="s">
        <v>24</v>
      </c>
      <c r="B32" t="str" cm="1">
        <f t="array" ref="B32">categorize(Table2[[#This Row],[Input Here]])</f>
        <v/>
      </c>
      <c r="F32" t="s">
        <v>348</v>
      </c>
      <c r="G32" s="3" t="str" cm="1">
        <f t="array" ref="G32">cost_center(F32)</f>
        <v>133</v>
      </c>
      <c r="L32" t="s">
        <v>232</v>
      </c>
      <c r="M32" t="str" cm="1">
        <f t="array" ref="M32">cost_center(L32)</f>
        <v>169</v>
      </c>
    </row>
    <row r="33" spans="1:13" x14ac:dyDescent="0.25">
      <c r="A33" t="s">
        <v>10</v>
      </c>
      <c r="B33" t="str" cm="1">
        <f t="array" ref="B33">categorize(Table2[[#This Row],[Input Here]])</f>
        <v/>
      </c>
      <c r="F33" t="s">
        <v>260</v>
      </c>
      <c r="G33" s="3" t="str" cm="1">
        <f t="array" ref="G33">cost_center(F33)</f>
        <v>84</v>
      </c>
      <c r="L33" t="s">
        <v>352</v>
      </c>
      <c r="M33" t="str" cm="1">
        <f t="array" ref="M33">cost_center(L33)</f>
        <v>69</v>
      </c>
    </row>
    <row r="34" spans="1:13" x14ac:dyDescent="0.25">
      <c r="A34" t="s">
        <v>10</v>
      </c>
      <c r="B34" t="str" cm="1">
        <f t="array" ref="B34">categorize(Table2[[#This Row],[Input Here]])</f>
        <v/>
      </c>
      <c r="F34" t="s">
        <v>274</v>
      </c>
      <c r="G34" s="3" t="str" cm="1">
        <f t="array" ref="G34">cost_center(F34)</f>
        <v>193</v>
      </c>
      <c r="L34" t="s">
        <v>352</v>
      </c>
      <c r="M34" t="str" cm="1">
        <f t="array" ref="M34">cost_center(L34)</f>
        <v>69</v>
      </c>
    </row>
    <row r="35" spans="1:13" x14ac:dyDescent="0.25">
      <c r="A35" t="s">
        <v>10</v>
      </c>
      <c r="B35" t="str" cm="1">
        <f t="array" ref="B35">categorize(Table2[[#This Row],[Input Here]])</f>
        <v/>
      </c>
      <c r="F35" t="s">
        <v>349</v>
      </c>
      <c r="G35" s="3" t="str" cm="1">
        <f t="array" ref="G35">cost_center(F35)</f>
        <v>198</v>
      </c>
      <c r="L35" t="s">
        <v>352</v>
      </c>
      <c r="M35" t="str" cm="1">
        <f t="array" ref="M35">cost_center(L35)</f>
        <v>69</v>
      </c>
    </row>
    <row r="36" spans="1:13" x14ac:dyDescent="0.25">
      <c r="A36" t="s">
        <v>24</v>
      </c>
      <c r="B36" t="str" cm="1">
        <f t="array" ref="B36">categorize(Table2[[#This Row],[Input Here]])</f>
        <v/>
      </c>
      <c r="F36" t="s">
        <v>150</v>
      </c>
      <c r="G36" s="3" t="str" cm="1">
        <f t="array" ref="G36">cost_center(F36)</f>
        <v>183</v>
      </c>
      <c r="L36" t="s">
        <v>332</v>
      </c>
      <c r="M36" t="str" cm="1">
        <f t="array" ref="M36">cost_center(L36)</f>
        <v>-</v>
      </c>
    </row>
    <row r="37" spans="1:13" x14ac:dyDescent="0.25">
      <c r="A37" t="s">
        <v>26</v>
      </c>
      <c r="B37" t="str" cm="1">
        <f t="array" ref="B37">categorize(Table2[[#This Row],[Input Here]])</f>
        <v/>
      </c>
      <c r="F37" t="s">
        <v>242</v>
      </c>
      <c r="G37" s="3" t="str" cm="1">
        <f t="array" ref="G37">cost_center(F37)</f>
        <v>167</v>
      </c>
      <c r="L37" t="s">
        <v>331</v>
      </c>
      <c r="M37" t="str" cm="1">
        <f t="array" ref="M37">cost_center(L37)</f>
        <v>147</v>
      </c>
    </row>
    <row r="38" spans="1:13" x14ac:dyDescent="0.25">
      <c r="A38" t="s">
        <v>26</v>
      </c>
      <c r="B38" t="str" cm="1">
        <f t="array" ref="B38">categorize(Table2[[#This Row],[Input Here]])</f>
        <v/>
      </c>
      <c r="F38" t="s">
        <v>235</v>
      </c>
      <c r="G38" s="3" t="str" cm="1">
        <f t="array" ref="G38">cost_center(F38)</f>
        <v>168</v>
      </c>
      <c r="L38" t="s">
        <v>131</v>
      </c>
      <c r="M38" t="str" cm="1">
        <f t="array" ref="M38">cost_center(L38)</f>
        <v>185</v>
      </c>
    </row>
    <row r="39" spans="1:13" x14ac:dyDescent="0.25">
      <c r="A39" t="s">
        <v>10</v>
      </c>
      <c r="B39" t="str" cm="1">
        <f t="array" ref="B39">categorize(Table2[[#This Row],[Input Here]])</f>
        <v/>
      </c>
      <c r="F39" t="s">
        <v>213</v>
      </c>
      <c r="G39" s="3" t="str" cm="1">
        <f t="array" ref="G39">cost_center(F39)</f>
        <v>84</v>
      </c>
      <c r="L39" t="s">
        <v>348</v>
      </c>
      <c r="M39" t="str" cm="1">
        <f t="array" ref="M39">cost_center(L39)</f>
        <v>133</v>
      </c>
    </row>
    <row r="40" spans="1:13" x14ac:dyDescent="0.25">
      <c r="A40" t="s">
        <v>10</v>
      </c>
      <c r="B40" t="str" cm="1">
        <f t="array" ref="B40">categorize(Table2[[#This Row],[Input Here]])</f>
        <v/>
      </c>
      <c r="F40" t="s">
        <v>350</v>
      </c>
      <c r="G40" s="3" t="str" cm="1">
        <f t="array" ref="G40">cost_center(F40)</f>
        <v>143</v>
      </c>
      <c r="L40" t="s">
        <v>332</v>
      </c>
      <c r="M40" t="str" cm="1">
        <f t="array" ref="M40">cost_center(L40)</f>
        <v>-</v>
      </c>
    </row>
    <row r="41" spans="1:13" x14ac:dyDescent="0.25">
      <c r="A41" t="s">
        <v>10</v>
      </c>
      <c r="B41" t="str" cm="1">
        <f t="array" ref="B41">categorize(Table2[[#This Row],[Input Here]])</f>
        <v/>
      </c>
      <c r="F41" t="s">
        <v>351</v>
      </c>
      <c r="G41" s="3" t="str" cm="1">
        <f t="array" ref="G41">cost_center(F41)</f>
        <v>-</v>
      </c>
      <c r="L41" t="s">
        <v>376</v>
      </c>
      <c r="M41" t="str" cm="1">
        <f t="array" ref="M41">cost_center(L41)</f>
        <v>188</v>
      </c>
    </row>
    <row r="42" spans="1:13" x14ac:dyDescent="0.25">
      <c r="A42" t="s">
        <v>10</v>
      </c>
      <c r="B42" t="str" cm="1">
        <f t="array" ref="B42">categorize(Table2[[#This Row],[Input Here]])</f>
        <v/>
      </c>
      <c r="F42" t="s">
        <v>218</v>
      </c>
      <c r="G42" s="3" t="str" cm="1">
        <f t="array" ref="G42">cost_center(F42)</f>
        <v>157</v>
      </c>
      <c r="L42" t="s">
        <v>334</v>
      </c>
      <c r="M42" t="str" cm="1">
        <f t="array" ref="M42">cost_center(L42)</f>
        <v>139</v>
      </c>
    </row>
    <row r="43" spans="1:13" x14ac:dyDescent="0.25">
      <c r="A43" t="s">
        <v>10</v>
      </c>
      <c r="B43" t="str" cm="1">
        <f t="array" ref="B43">categorize(Table2[[#This Row],[Input Here]])</f>
        <v/>
      </c>
      <c r="F43" t="s">
        <v>352</v>
      </c>
      <c r="G43" s="3" t="str" cm="1">
        <f t="array" ref="G43">cost_center(F43)</f>
        <v>69</v>
      </c>
      <c r="L43" t="s">
        <v>344</v>
      </c>
      <c r="M43" t="str" cm="1">
        <f t="array" ref="M43">cost_center(L43)</f>
        <v>138</v>
      </c>
    </row>
    <row r="44" spans="1:13" x14ac:dyDescent="0.25">
      <c r="A44" t="s">
        <v>10</v>
      </c>
      <c r="B44" t="str" cm="1">
        <f t="array" ref="B44">categorize(Table2[[#This Row],[Input Here]])</f>
        <v/>
      </c>
      <c r="F44" t="s">
        <v>131</v>
      </c>
      <c r="G44" s="3" t="str" cm="1">
        <f t="array" ref="G44">cost_center(F44)</f>
        <v>185</v>
      </c>
      <c r="L44" t="s">
        <v>122</v>
      </c>
      <c r="M44" t="str" cm="1">
        <f t="array" ref="M44">cost_center(L44)</f>
        <v>151</v>
      </c>
    </row>
    <row r="45" spans="1:13" x14ac:dyDescent="0.25">
      <c r="A45" t="s">
        <v>10</v>
      </c>
      <c r="B45" t="str" cm="1">
        <f t="array" ref="B45">categorize(Table2[[#This Row],[Input Here]])</f>
        <v/>
      </c>
      <c r="F45" t="s">
        <v>277</v>
      </c>
      <c r="G45" s="3" t="str" cm="1">
        <f t="array" ref="G45">cost_center(F45)</f>
        <v>194</v>
      </c>
      <c r="L45" t="s">
        <v>204</v>
      </c>
      <c r="M45" s="5">
        <v>88</v>
      </c>
    </row>
    <row r="46" spans="1:13" x14ac:dyDescent="0.25">
      <c r="A46" t="s">
        <v>10</v>
      </c>
      <c r="B46" t="str" cm="1">
        <f t="array" ref="B46">categorize(Table2[[#This Row],[Input Here]])</f>
        <v/>
      </c>
      <c r="F46" t="s">
        <v>210</v>
      </c>
      <c r="G46" s="3" t="str" cm="1">
        <f t="array" ref="G46">cost_center(F46)</f>
        <v>-</v>
      </c>
      <c r="L46" t="s">
        <v>204</v>
      </c>
      <c r="M46" s="5">
        <v>88</v>
      </c>
    </row>
    <row r="47" spans="1:13" x14ac:dyDescent="0.25">
      <c r="A47" t="s">
        <v>10</v>
      </c>
      <c r="B47" t="str" cm="1">
        <f t="array" ref="B47">categorize(Table2[[#This Row],[Input Here]])</f>
        <v/>
      </c>
      <c r="F47" t="s">
        <v>61</v>
      </c>
      <c r="G47" s="3" t="str" cm="1">
        <f t="array" ref="G47">cost_center(F47)</f>
        <v>162</v>
      </c>
      <c r="L47" t="s">
        <v>377</v>
      </c>
      <c r="M47" t="s">
        <v>379</v>
      </c>
    </row>
    <row r="48" spans="1:13" x14ac:dyDescent="0.25">
      <c r="A48" t="s">
        <v>10</v>
      </c>
      <c r="B48" t="str" cm="1">
        <f t="array" ref="B48">categorize(Table2[[#This Row],[Input Here]])</f>
        <v/>
      </c>
      <c r="F48" t="s">
        <v>152</v>
      </c>
      <c r="G48" s="3" t="str" cm="1">
        <f t="array" ref="G48">cost_center(F48)</f>
        <v>164</v>
      </c>
      <c r="L48" t="s">
        <v>92</v>
      </c>
      <c r="M48" t="str" cm="1">
        <f t="array" ref="M48">cost_center(L48)</f>
        <v>187</v>
      </c>
    </row>
    <row r="49" spans="1:13" x14ac:dyDescent="0.25">
      <c r="A49" t="s">
        <v>10</v>
      </c>
      <c r="B49" t="str" cm="1">
        <f t="array" ref="B49">categorize(Table2[[#This Row],[Input Here]])</f>
        <v/>
      </c>
      <c r="F49" t="s">
        <v>353</v>
      </c>
      <c r="G49" s="3" t="str" cm="1">
        <f t="array" ref="G49">cost_center(F49)</f>
        <v>84</v>
      </c>
      <c r="L49" t="s">
        <v>378</v>
      </c>
      <c r="M49" t="str" cm="1">
        <f t="array" ref="M49">cost_center(L49)</f>
        <v>84</v>
      </c>
    </row>
    <row r="50" spans="1:13" x14ac:dyDescent="0.25">
      <c r="A50" t="s">
        <v>10</v>
      </c>
      <c r="B50" t="str" cm="1">
        <f t="array" ref="B50">categorize(Table2[[#This Row],[Input Here]])</f>
        <v/>
      </c>
      <c r="F50" t="s">
        <v>202</v>
      </c>
      <c r="G50" s="3" t="str" cm="1">
        <f t="array" ref="G50">cost_center(F50)</f>
        <v>84</v>
      </c>
      <c r="L50" t="s">
        <v>345</v>
      </c>
      <c r="M50" t="str" cm="1">
        <f t="array" ref="M50">cost_center(L50)</f>
        <v>126</v>
      </c>
    </row>
    <row r="51" spans="1:13" x14ac:dyDescent="0.25">
      <c r="A51" t="s">
        <v>10</v>
      </c>
      <c r="B51" t="str" cm="1">
        <f t="array" ref="B51">categorize(Table2[[#This Row],[Input Here]])</f>
        <v/>
      </c>
      <c r="F51" t="s">
        <v>354</v>
      </c>
      <c r="G51" s="3">
        <v>195</v>
      </c>
      <c r="L51" t="s">
        <v>139</v>
      </c>
      <c r="M51" t="str" cm="1">
        <f t="array" ref="M51">cost_center(L51)</f>
        <v>176</v>
      </c>
    </row>
    <row r="52" spans="1:13" x14ac:dyDescent="0.25">
      <c r="A52" t="s">
        <v>10</v>
      </c>
      <c r="B52" t="str" cm="1">
        <f t="array" ref="B52">categorize(Table2[[#This Row],[Input Here]])</f>
        <v/>
      </c>
      <c r="F52" t="s">
        <v>355</v>
      </c>
      <c r="G52" s="3">
        <v>192</v>
      </c>
    </row>
    <row r="53" spans="1:13" x14ac:dyDescent="0.25">
      <c r="A53" t="s">
        <v>10</v>
      </c>
      <c r="B53" t="str" cm="1">
        <f t="array" ref="B53">categorize(Table2[[#This Row],[Input Here]])</f>
        <v/>
      </c>
      <c r="F53" t="s">
        <v>238</v>
      </c>
      <c r="G53" s="3" t="str" cm="1">
        <f t="array" ref="G53">cost_center(F53)</f>
        <v>-</v>
      </c>
    </row>
    <row r="54" spans="1:13" x14ac:dyDescent="0.25">
      <c r="A54" t="s">
        <v>10</v>
      </c>
      <c r="B54" t="str" cm="1">
        <f t="array" ref="B54">categorize(Table2[[#This Row],[Input Here]])</f>
        <v/>
      </c>
      <c r="F54" t="s">
        <v>103</v>
      </c>
      <c r="G54" s="3" t="str" cm="1">
        <f t="array" ref="G54">cost_center(F54)</f>
        <v>179</v>
      </c>
    </row>
    <row r="55" spans="1:13" x14ac:dyDescent="0.25">
      <c r="A55" t="s">
        <v>24</v>
      </c>
      <c r="B55" t="str" cm="1">
        <f t="array" ref="B55">categorize(Table2[[#This Row],[Input Here]])</f>
        <v/>
      </c>
      <c r="F55" t="s">
        <v>356</v>
      </c>
      <c r="G55" s="3" t="str" cm="1">
        <f t="array" ref="G55">cost_center(F55)</f>
        <v/>
      </c>
    </row>
    <row r="56" spans="1:13" x14ac:dyDescent="0.25">
      <c r="A56" t="s">
        <v>24</v>
      </c>
      <c r="B56" t="str" cm="1">
        <f t="array" ref="B56">categorize(Table2[[#This Row],[Input Here]])</f>
        <v/>
      </c>
      <c r="F56" t="s">
        <v>204</v>
      </c>
      <c r="G56" s="3">
        <v>88</v>
      </c>
    </row>
    <row r="57" spans="1:13" x14ac:dyDescent="0.25">
      <c r="A57" t="s">
        <v>24</v>
      </c>
      <c r="B57" t="str" cm="1">
        <f t="array" ref="B57">categorize(Table2[[#This Row],[Input Here]])</f>
        <v/>
      </c>
      <c r="F57" t="s">
        <v>116</v>
      </c>
      <c r="G57" s="3" t="str" cm="1">
        <f t="array" ref="G57">cost_center(F57)</f>
        <v>201</v>
      </c>
    </row>
    <row r="58" spans="1:13" x14ac:dyDescent="0.25">
      <c r="A58" t="s">
        <v>10</v>
      </c>
      <c r="B58" t="str" cm="1">
        <f t="array" ref="B58">categorize(Table2[[#This Row],[Input Here]])</f>
        <v/>
      </c>
      <c r="F58" t="s">
        <v>357</v>
      </c>
      <c r="G58" s="3" t="str" cm="1">
        <f t="array" ref="G58">cost_center(F58)</f>
        <v>84</v>
      </c>
    </row>
    <row r="59" spans="1:13" x14ac:dyDescent="0.25">
      <c r="A59" t="s">
        <v>10</v>
      </c>
      <c r="B59" t="str" cm="1">
        <f t="array" ref="B59">categorize(Table2[[#This Row],[Input Here]])</f>
        <v/>
      </c>
    </row>
    <row r="60" spans="1:13" x14ac:dyDescent="0.25">
      <c r="A60" t="s">
        <v>10</v>
      </c>
      <c r="B60" t="str" cm="1">
        <f t="array" ref="B60">categorize(Table2[[#This Row],[Input Here]])</f>
        <v/>
      </c>
    </row>
    <row r="61" spans="1:13" x14ac:dyDescent="0.25">
      <c r="A61" t="s">
        <v>10</v>
      </c>
      <c r="B61" t="str" cm="1">
        <f t="array" ref="B61">categorize(Table2[[#This Row],[Input Here]])</f>
        <v/>
      </c>
    </row>
    <row r="62" spans="1:13" x14ac:dyDescent="0.25">
      <c r="A62" t="s">
        <v>10</v>
      </c>
      <c r="B62" t="str" cm="1">
        <f t="array" ref="B62">categorize(Table2[[#This Row],[Input Here]])</f>
        <v/>
      </c>
    </row>
    <row r="63" spans="1:13" x14ac:dyDescent="0.25">
      <c r="A63" t="s">
        <v>10</v>
      </c>
      <c r="B63" t="str" cm="1">
        <f t="array" ref="B63">categorize(Table2[[#This Row],[Input Here]])</f>
        <v/>
      </c>
    </row>
    <row r="64" spans="1:13" x14ac:dyDescent="0.25">
      <c r="A64" t="s">
        <v>10</v>
      </c>
      <c r="B64" t="str" cm="1">
        <f t="array" ref="B64">categorize(Table2[[#This Row],[Input Here]])</f>
        <v/>
      </c>
    </row>
    <row r="65" spans="1:2" x14ac:dyDescent="0.25">
      <c r="A65" t="s">
        <v>24</v>
      </c>
      <c r="B65" t="str" cm="1">
        <f t="array" ref="B65">categorize(Table2[[#This Row],[Input Here]])</f>
        <v/>
      </c>
    </row>
    <row r="66" spans="1:2" x14ac:dyDescent="0.25">
      <c r="A66" t="s">
        <v>10</v>
      </c>
      <c r="B66" t="str" cm="1">
        <f t="array" ref="B66">categorize(Table2[[#This Row],[Input Here]])</f>
        <v/>
      </c>
    </row>
    <row r="67" spans="1:2" x14ac:dyDescent="0.25">
      <c r="A67" t="s">
        <v>26</v>
      </c>
      <c r="B67" t="str" cm="1">
        <f t="array" ref="B67">categorize(Table2[[#This Row],[Input Here]])</f>
        <v/>
      </c>
    </row>
    <row r="68" spans="1:2" x14ac:dyDescent="0.25">
      <c r="A68" t="s">
        <v>26</v>
      </c>
      <c r="B68" t="str" cm="1">
        <f t="array" ref="B68">categorize(Table2[[#This Row],[Input Here]])</f>
        <v/>
      </c>
    </row>
    <row r="69" spans="1:2" x14ac:dyDescent="0.25">
      <c r="A69" t="s">
        <v>26</v>
      </c>
      <c r="B69" t="str" cm="1">
        <f t="array" ref="B69">categorize(Table2[[#This Row],[Input Here]])</f>
        <v/>
      </c>
    </row>
    <row r="70" spans="1:2" x14ac:dyDescent="0.25">
      <c r="A70" t="s">
        <v>26</v>
      </c>
      <c r="B70" t="str" cm="1">
        <f t="array" ref="B70">categorize(Table2[[#This Row],[Input Here]])</f>
        <v/>
      </c>
    </row>
    <row r="71" spans="1:2" x14ac:dyDescent="0.25">
      <c r="A71" t="s">
        <v>26</v>
      </c>
      <c r="B71" t="str" cm="1">
        <f t="array" ref="B71">categorize(Table2[[#This Row],[Input Here]])</f>
        <v/>
      </c>
    </row>
    <row r="72" spans="1:2" x14ac:dyDescent="0.25">
      <c r="A72" t="s">
        <v>26</v>
      </c>
      <c r="B72" t="str" cm="1">
        <f t="array" ref="B72">categorize(Table2[[#This Row],[Input Here]])</f>
        <v/>
      </c>
    </row>
    <row r="73" spans="1:2" x14ac:dyDescent="0.25">
      <c r="A73" t="s">
        <v>26</v>
      </c>
      <c r="B73" t="str" cm="1">
        <f t="array" ref="B73">categorize(Table2[[#This Row],[Input Here]])</f>
        <v/>
      </c>
    </row>
    <row r="74" spans="1:2" x14ac:dyDescent="0.25">
      <c r="A74" t="s">
        <v>26</v>
      </c>
      <c r="B74" t="str" cm="1">
        <f t="array" ref="B74">categorize(Table2[[#This Row],[Input Here]])</f>
        <v/>
      </c>
    </row>
    <row r="75" spans="1:2" x14ac:dyDescent="0.25">
      <c r="A75" t="s">
        <v>26</v>
      </c>
      <c r="B75" t="str" cm="1">
        <f t="array" ref="B75">categorize(Table2[[#This Row],[Input Here]])</f>
        <v/>
      </c>
    </row>
    <row r="76" spans="1:2" x14ac:dyDescent="0.25">
      <c r="A76" t="s">
        <v>26</v>
      </c>
      <c r="B76" t="str" cm="1">
        <f t="array" ref="B76">categorize(Table2[[#This Row],[Input Here]])</f>
        <v/>
      </c>
    </row>
    <row r="77" spans="1:2" x14ac:dyDescent="0.25">
      <c r="A77" t="s">
        <v>26</v>
      </c>
      <c r="B77" t="str" cm="1">
        <f t="array" ref="B77">categorize(Table2[[#This Row],[Input Here]])</f>
        <v/>
      </c>
    </row>
    <row r="78" spans="1:2" x14ac:dyDescent="0.25">
      <c r="A78" t="s">
        <v>26</v>
      </c>
      <c r="B78" t="str" cm="1">
        <f t="array" ref="B78">categorize(Table2[[#This Row],[Input Here]])</f>
        <v/>
      </c>
    </row>
    <row r="79" spans="1:2" x14ac:dyDescent="0.25">
      <c r="A79" t="s">
        <v>26</v>
      </c>
      <c r="B79" t="str" cm="1">
        <f t="array" ref="B79">categorize(Table2[[#This Row],[Input Here]])</f>
        <v/>
      </c>
    </row>
    <row r="80" spans="1:2" x14ac:dyDescent="0.25">
      <c r="A80" t="s">
        <v>26</v>
      </c>
      <c r="B80" t="str" cm="1">
        <f t="array" ref="B80">categorize(Table2[[#This Row],[Input Here]])</f>
        <v/>
      </c>
    </row>
    <row r="81" spans="1:2" x14ac:dyDescent="0.25">
      <c r="A81" t="s">
        <v>26</v>
      </c>
      <c r="B81" t="str" cm="1">
        <f t="array" ref="B81">categorize(Table2[[#This Row],[Input Here]])</f>
        <v/>
      </c>
    </row>
    <row r="82" spans="1:2" x14ac:dyDescent="0.25">
      <c r="A82" t="s">
        <v>26</v>
      </c>
      <c r="B82" t="str" cm="1">
        <f t="array" ref="B82">categorize(Table2[[#This Row],[Input Here]])</f>
        <v/>
      </c>
    </row>
    <row r="83" spans="1:2" x14ac:dyDescent="0.25">
      <c r="A83" t="s">
        <v>26</v>
      </c>
      <c r="B83" t="str" cm="1">
        <f t="array" ref="B83">categorize(Table2[[#This Row],[Input Here]])</f>
        <v/>
      </c>
    </row>
    <row r="84" spans="1:2" x14ac:dyDescent="0.25">
      <c r="A84" t="s">
        <v>26</v>
      </c>
      <c r="B84" t="str" cm="1">
        <f t="array" ref="B84">categorize(Table2[[#This Row],[Input Here]])</f>
        <v/>
      </c>
    </row>
    <row r="85" spans="1:2" x14ac:dyDescent="0.25">
      <c r="A85" t="s">
        <v>26</v>
      </c>
      <c r="B85" t="str" cm="1">
        <f t="array" ref="B85">categorize(Table2[[#This Row],[Input Here]])</f>
        <v/>
      </c>
    </row>
    <row r="86" spans="1:2" x14ac:dyDescent="0.25">
      <c r="A86" t="s">
        <v>26</v>
      </c>
      <c r="B86" t="str" cm="1">
        <f t="array" ref="B86">categorize(Table2[[#This Row],[Input Here]])</f>
        <v/>
      </c>
    </row>
    <row r="87" spans="1:2" x14ac:dyDescent="0.25">
      <c r="A87" t="s">
        <v>26</v>
      </c>
      <c r="B87" t="str" cm="1">
        <f t="array" ref="B87">categorize(Table2[[#This Row],[Input Here]])</f>
        <v/>
      </c>
    </row>
    <row r="88" spans="1:2" x14ac:dyDescent="0.25">
      <c r="A88" t="s">
        <v>26</v>
      </c>
      <c r="B88" t="str" cm="1">
        <f t="array" ref="B88">categorize(Table2[[#This Row],[Input Here]])</f>
        <v/>
      </c>
    </row>
    <row r="89" spans="1:2" x14ac:dyDescent="0.25">
      <c r="A89" t="s">
        <v>26</v>
      </c>
      <c r="B89" t="str" cm="1">
        <f t="array" ref="B89">categorize(Table2[[#This Row],[Input Here]])</f>
        <v/>
      </c>
    </row>
    <row r="90" spans="1:2" x14ac:dyDescent="0.25">
      <c r="A90" t="s">
        <v>10</v>
      </c>
      <c r="B90" t="str" cm="1">
        <f t="array" ref="B90">categorize(Table2[[#This Row],[Input Here]])</f>
        <v/>
      </c>
    </row>
    <row r="91" spans="1:2" x14ac:dyDescent="0.25">
      <c r="A91" t="s">
        <v>26</v>
      </c>
      <c r="B91" t="str" cm="1">
        <f t="array" ref="B91">categorize(Table2[[#This Row],[Input Here]])</f>
        <v/>
      </c>
    </row>
    <row r="92" spans="1:2" x14ac:dyDescent="0.25">
      <c r="A92" t="s">
        <v>26</v>
      </c>
      <c r="B92" t="str" cm="1">
        <f t="array" ref="B92">categorize(Table2[[#This Row],[Input Here]])</f>
        <v/>
      </c>
    </row>
    <row r="93" spans="1:2" x14ac:dyDescent="0.25">
      <c r="A93" t="s">
        <v>41</v>
      </c>
      <c r="B93" t="str" cm="1">
        <f t="array" ref="B93">categorize(Table2[[#This Row],[Input Here]])</f>
        <v/>
      </c>
    </row>
    <row r="94" spans="1:2" x14ac:dyDescent="0.25">
      <c r="A94" t="s">
        <v>6</v>
      </c>
      <c r="B94" t="str" cm="1">
        <f t="array" ref="B94">categorize(Table2[[#This Row],[Input Here]])</f>
        <v/>
      </c>
    </row>
    <row r="95" spans="1:2" x14ac:dyDescent="0.25">
      <c r="A95" t="s">
        <v>11</v>
      </c>
      <c r="B95" t="str" cm="1">
        <f t="array" ref="B95">categorize(Table2[[#This Row],[Input Here]])</f>
        <v/>
      </c>
    </row>
    <row r="96" spans="1:2" x14ac:dyDescent="0.25">
      <c r="A96" t="s">
        <v>32</v>
      </c>
      <c r="B96" t="str" cm="1">
        <f t="array" ref="B96">categorize(Table2[[#This Row],[Input Here]])</f>
        <v/>
      </c>
    </row>
    <row r="97" spans="1:2" x14ac:dyDescent="0.25">
      <c r="A97" t="s">
        <v>22</v>
      </c>
      <c r="B97" t="str" cm="1">
        <f t="array" ref="B97">categorize(Table2[[#This Row],[Input Here]])</f>
        <v/>
      </c>
    </row>
    <row r="98" spans="1:2" x14ac:dyDescent="0.25">
      <c r="A98" t="s">
        <v>33</v>
      </c>
      <c r="B98" t="str" cm="1">
        <f t="array" ref="B98">categorize(Table2[[#This Row],[Input Here]])</f>
        <v/>
      </c>
    </row>
    <row r="99" spans="1:2" x14ac:dyDescent="0.25">
      <c r="A99" t="s">
        <v>16</v>
      </c>
      <c r="B99" t="str" cm="1">
        <f t="array" ref="B99">categorize(Table2[[#This Row],[Input Here]])</f>
        <v/>
      </c>
    </row>
    <row r="100" spans="1:2" x14ac:dyDescent="0.25">
      <c r="A100" t="s">
        <v>40</v>
      </c>
      <c r="B100" t="str" cm="1">
        <f t="array" ref="B100">categorize(Table2[[#This Row],[Input Here]])</f>
        <v/>
      </c>
    </row>
    <row r="101" spans="1:2" x14ac:dyDescent="0.25">
      <c r="A101" t="s">
        <v>40</v>
      </c>
      <c r="B101" t="str" cm="1">
        <f t="array" ref="B101">categorize(Table2[[#This Row],[Input Here]])</f>
        <v/>
      </c>
    </row>
    <row r="102" spans="1:2" x14ac:dyDescent="0.25">
      <c r="A102" t="s">
        <v>6</v>
      </c>
      <c r="B102" t="str" cm="1">
        <f t="array" ref="B102">categorize(Table2[[#This Row],[Input Here]])</f>
        <v/>
      </c>
    </row>
    <row r="103" spans="1:2" x14ac:dyDescent="0.25">
      <c r="A103" t="s">
        <v>11</v>
      </c>
      <c r="B103" t="str" cm="1">
        <f t="array" ref="B103">categorize(Table2[[#This Row],[Input Here]])</f>
        <v/>
      </c>
    </row>
    <row r="104" spans="1:2" x14ac:dyDescent="0.25">
      <c r="A104" t="s">
        <v>32</v>
      </c>
      <c r="B104" t="str" cm="1">
        <f t="array" ref="B104">categorize(Table2[[#This Row],[Input Here]])</f>
        <v/>
      </c>
    </row>
    <row r="105" spans="1:2" x14ac:dyDescent="0.25">
      <c r="A105" t="s">
        <v>33</v>
      </c>
      <c r="B105" t="str" cm="1">
        <f t="array" ref="B105">categorize(Table2[[#This Row],[Input Here]])</f>
        <v/>
      </c>
    </row>
    <row r="106" spans="1:2" x14ac:dyDescent="0.25">
      <c r="A106" t="s">
        <v>16</v>
      </c>
      <c r="B106" t="str" cm="1">
        <f t="array" ref="B106">categorize(Table2[[#This Row],[Input Here]])</f>
        <v/>
      </c>
    </row>
    <row r="107" spans="1:2" x14ac:dyDescent="0.25">
      <c r="A107" t="s">
        <v>40</v>
      </c>
      <c r="B107" t="str" cm="1">
        <f t="array" ref="B107">categorize(Table2[[#This Row],[Input Here]])</f>
        <v/>
      </c>
    </row>
    <row r="108" spans="1:2" x14ac:dyDescent="0.25">
      <c r="A108" t="s">
        <v>2</v>
      </c>
      <c r="B108" t="str" cm="1">
        <f t="array" ref="B108">categorize(Table2[[#This Row],[Input Here]])</f>
        <v/>
      </c>
    </row>
    <row r="109" spans="1:2" x14ac:dyDescent="0.25">
      <c r="A109" t="s">
        <v>40</v>
      </c>
      <c r="B109" t="str" cm="1">
        <f t="array" ref="B109">categorize(Table2[[#This Row],[Input Here]])</f>
        <v/>
      </c>
    </row>
    <row r="110" spans="1:2" x14ac:dyDescent="0.25">
      <c r="A110" t="s">
        <v>31</v>
      </c>
      <c r="B110" t="str" cm="1">
        <f t="array" ref="B110">categorize(Table2[[#This Row],[Input Here]])</f>
        <v/>
      </c>
    </row>
    <row r="111" spans="1:2" x14ac:dyDescent="0.25">
      <c r="A111" t="s">
        <v>31</v>
      </c>
      <c r="B111" t="str" cm="1">
        <f t="array" ref="B111">categorize(Table2[[#This Row],[Input Here]])</f>
        <v/>
      </c>
    </row>
    <row r="112" spans="1:2" x14ac:dyDescent="0.25">
      <c r="A112" t="s">
        <v>31</v>
      </c>
      <c r="B112" t="str" cm="1">
        <f t="array" ref="B112">categorize(Table2[[#This Row],[Input Here]])</f>
        <v/>
      </c>
    </row>
    <row r="113" spans="1:2" x14ac:dyDescent="0.25">
      <c r="A113" t="s">
        <v>31</v>
      </c>
      <c r="B113" t="str" cm="1">
        <f t="array" ref="B113">categorize(Table2[[#This Row],[Input Here]])</f>
        <v/>
      </c>
    </row>
    <row r="114" spans="1:2" x14ac:dyDescent="0.25">
      <c r="A114" t="s">
        <v>31</v>
      </c>
      <c r="B114" t="str" cm="1">
        <f t="array" ref="B114">categorize(Table2[[#This Row],[Input Here]])</f>
        <v/>
      </c>
    </row>
    <row r="115" spans="1:2" x14ac:dyDescent="0.25">
      <c r="A115" t="s">
        <v>31</v>
      </c>
      <c r="B115" t="str" cm="1">
        <f t="array" ref="B115">categorize(Table2[[#This Row],[Input Here]])</f>
        <v/>
      </c>
    </row>
    <row r="116" spans="1:2" x14ac:dyDescent="0.25">
      <c r="A116" t="s">
        <v>31</v>
      </c>
      <c r="B116" t="str" cm="1">
        <f t="array" ref="B116">categorize(Table2[[#This Row],[Input Here]])</f>
        <v/>
      </c>
    </row>
    <row r="117" spans="1:2" x14ac:dyDescent="0.25">
      <c r="A117" t="s">
        <v>31</v>
      </c>
      <c r="B117" t="str" cm="1">
        <f t="array" ref="B117">categorize(Table2[[#This Row],[Input Here]])</f>
        <v/>
      </c>
    </row>
    <row r="118" spans="1:2" x14ac:dyDescent="0.25">
      <c r="A118" t="s">
        <v>37</v>
      </c>
      <c r="B118" t="str" cm="1">
        <f t="array" ref="B118">categorize(Table2[[#This Row],[Input Here]])</f>
        <v/>
      </c>
    </row>
    <row r="119" spans="1:2" x14ac:dyDescent="0.25">
      <c r="A119" t="s">
        <v>37</v>
      </c>
      <c r="B119" t="str" cm="1">
        <f t="array" ref="B119">categorize(Table2[[#This Row],[Input Here]])</f>
        <v/>
      </c>
    </row>
    <row r="120" spans="1:2" x14ac:dyDescent="0.25">
      <c r="A120" t="s">
        <v>37</v>
      </c>
      <c r="B120" t="str" cm="1">
        <f t="array" ref="B120">categorize(Table2[[#This Row],[Input Here]])</f>
        <v/>
      </c>
    </row>
    <row r="121" spans="1:2" x14ac:dyDescent="0.25">
      <c r="A121" t="s">
        <v>37</v>
      </c>
      <c r="B121" t="str" cm="1">
        <f t="array" ref="B121">categorize(Table2[[#This Row],[Input Here]])</f>
        <v/>
      </c>
    </row>
    <row r="122" spans="1:2" x14ac:dyDescent="0.25">
      <c r="A122" t="s">
        <v>37</v>
      </c>
      <c r="B122" t="str" cm="1">
        <f t="array" ref="B122">categorize(Table2[[#This Row],[Input Here]])</f>
        <v/>
      </c>
    </row>
    <row r="123" spans="1:2" x14ac:dyDescent="0.25">
      <c r="A123" t="s">
        <v>37</v>
      </c>
      <c r="B123" t="str" cm="1">
        <f t="array" ref="B123">categorize(Table2[[#This Row],[Input Here]])</f>
        <v/>
      </c>
    </row>
    <row r="124" spans="1:2" x14ac:dyDescent="0.25">
      <c r="A124" t="s">
        <v>37</v>
      </c>
      <c r="B124" t="str" cm="1">
        <f t="array" ref="B124">categorize(Table2[[#This Row],[Input Here]])</f>
        <v/>
      </c>
    </row>
    <row r="125" spans="1:2" x14ac:dyDescent="0.25">
      <c r="A125" t="s">
        <v>37</v>
      </c>
      <c r="B125" t="str" cm="1">
        <f t="array" ref="B125">categorize(Table2[[#This Row],[Input Here]])</f>
        <v/>
      </c>
    </row>
    <row r="126" spans="1:2" x14ac:dyDescent="0.25">
      <c r="A126" t="s">
        <v>37</v>
      </c>
      <c r="B126" t="str" cm="1">
        <f t="array" ref="B126">categorize(Table2[[#This Row],[Input Here]])</f>
        <v/>
      </c>
    </row>
    <row r="127" spans="1:2" x14ac:dyDescent="0.25">
      <c r="A127" t="s">
        <v>37</v>
      </c>
      <c r="B127" t="str" cm="1">
        <f t="array" ref="B127">categorize(Table2[[#This Row],[Input Here]])</f>
        <v/>
      </c>
    </row>
    <row r="128" spans="1:2" x14ac:dyDescent="0.25">
      <c r="A128" t="s">
        <v>37</v>
      </c>
      <c r="B128" t="str" cm="1">
        <f t="array" ref="B128">categorize(Table2[[#This Row],[Input Here]])</f>
        <v/>
      </c>
    </row>
    <row r="129" spans="1:2" x14ac:dyDescent="0.25">
      <c r="A129" t="s">
        <v>10</v>
      </c>
      <c r="B129" t="str" cm="1">
        <f t="array" ref="B129">categorize(Table2[[#This Row],[Input Here]])</f>
        <v/>
      </c>
    </row>
    <row r="130" spans="1:2" x14ac:dyDescent="0.25">
      <c r="A130" t="s">
        <v>2</v>
      </c>
      <c r="B130" t="str" cm="1">
        <f t="array" ref="B130">categorize(Table2[[#This Row],[Input Here]])</f>
        <v/>
      </c>
    </row>
    <row r="131" spans="1:2" x14ac:dyDescent="0.25">
      <c r="A131" t="s">
        <v>39</v>
      </c>
      <c r="B131" t="str" cm="1">
        <f t="array" ref="B131">categorize(Table2[[#This Row],[Input Here]])</f>
        <v/>
      </c>
    </row>
    <row r="132" spans="1:2" x14ac:dyDescent="0.25">
      <c r="A132" t="s">
        <v>38</v>
      </c>
      <c r="B132" t="str" cm="1">
        <f t="array" ref="B132">categorize(Table2[[#This Row],[Input Here]])</f>
        <v/>
      </c>
    </row>
    <row r="133" spans="1:2" x14ac:dyDescent="0.25">
      <c r="A133" t="s">
        <v>6</v>
      </c>
      <c r="B133" t="str" cm="1">
        <f t="array" ref="B133">categorize(Table2[[#This Row],[Input Here]])</f>
        <v/>
      </c>
    </row>
    <row r="134" spans="1:2" x14ac:dyDescent="0.25">
      <c r="A134" t="s">
        <v>11</v>
      </c>
      <c r="B134" t="str" cm="1">
        <f t="array" ref="B134">categorize(Table2[[#This Row],[Input Here]])</f>
        <v/>
      </c>
    </row>
    <row r="135" spans="1:2" x14ac:dyDescent="0.25">
      <c r="A135" t="s">
        <v>0</v>
      </c>
      <c r="B135" t="str" cm="1">
        <f t="array" ref="B135">categorize(Table2[[#This Row],[Input Here]])</f>
        <v/>
      </c>
    </row>
    <row r="136" spans="1:2" x14ac:dyDescent="0.25">
      <c r="A136" t="s">
        <v>22</v>
      </c>
      <c r="B136" t="str" cm="1">
        <f t="array" ref="B136">categorize(Table2[[#This Row],[Input Here]])</f>
        <v/>
      </c>
    </row>
    <row r="137" spans="1:2" x14ac:dyDescent="0.25">
      <c r="A137" t="s">
        <v>33</v>
      </c>
      <c r="B137" t="str" cm="1">
        <f t="array" ref="B137">categorize(Table2[[#This Row],[Input Here]])</f>
        <v/>
      </c>
    </row>
    <row r="138" spans="1:2" x14ac:dyDescent="0.25">
      <c r="A138" t="s">
        <v>16</v>
      </c>
      <c r="B138" t="str" cm="1">
        <f t="array" ref="B138">categorize(Table2[[#This Row],[Input Here]])</f>
        <v/>
      </c>
    </row>
    <row r="139" spans="1:2" x14ac:dyDescent="0.25">
      <c r="A139" t="s">
        <v>40</v>
      </c>
      <c r="B139" t="str" cm="1">
        <f t="array" ref="B139">categorize(Table2[[#This Row],[Input Here]])</f>
        <v/>
      </c>
    </row>
    <row r="140" spans="1:2" x14ac:dyDescent="0.25">
      <c r="A140" t="s">
        <v>24</v>
      </c>
      <c r="B140" t="str" cm="1">
        <f t="array" ref="B140">categorize(Table2[[#This Row],[Input Here]])</f>
        <v/>
      </c>
    </row>
    <row r="141" spans="1:2" x14ac:dyDescent="0.25">
      <c r="A141" t="s">
        <v>26</v>
      </c>
      <c r="B141" t="str" cm="1">
        <f t="array" ref="B141">categorize(Table2[[#This Row],[Input Here]])</f>
        <v/>
      </c>
    </row>
    <row r="142" spans="1:2" x14ac:dyDescent="0.25">
      <c r="A142" t="s">
        <v>2</v>
      </c>
      <c r="B142" t="str" cm="1">
        <f t="array" ref="B142">categorize(Table2[[#This Row],[Input Here]])</f>
        <v/>
      </c>
    </row>
    <row r="143" spans="1:2" x14ac:dyDescent="0.25">
      <c r="A143" t="s">
        <v>327</v>
      </c>
      <c r="B143" t="str" cm="1">
        <f t="array" ref="B143">categorize(Table2[[#This Row],[Input Here]])</f>
        <v/>
      </c>
    </row>
    <row r="144" spans="1:2" x14ac:dyDescent="0.25">
      <c r="A144" t="s">
        <v>26</v>
      </c>
      <c r="B144" t="str" cm="1">
        <f t="array" ref="B144">categorize(Table2[[#This Row],[Input Here]])</f>
        <v/>
      </c>
    </row>
    <row r="145" spans="1:2" x14ac:dyDescent="0.25">
      <c r="A145" t="s">
        <v>26</v>
      </c>
      <c r="B145" t="str" cm="1">
        <f t="array" ref="B145">categorize(Table2[[#This Row],[Input Here]])</f>
        <v/>
      </c>
    </row>
    <row r="146" spans="1:2" x14ac:dyDescent="0.25">
      <c r="A146" t="s">
        <v>26</v>
      </c>
      <c r="B146" t="str" cm="1">
        <f t="array" ref="B146">categorize(Table2[[#This Row],[Input Here]])</f>
        <v/>
      </c>
    </row>
    <row r="147" spans="1:2" x14ac:dyDescent="0.25">
      <c r="A147" t="s">
        <v>26</v>
      </c>
      <c r="B147" t="str" cm="1">
        <f t="array" ref="B147">categorize(Table2[[#This Row],[Input Here]])</f>
        <v/>
      </c>
    </row>
    <row r="148" spans="1:2" x14ac:dyDescent="0.25">
      <c r="A148" t="s">
        <v>26</v>
      </c>
      <c r="B148" t="str" cm="1">
        <f t="array" ref="B148">categorize(Table2[[#This Row],[Input Here]])</f>
        <v/>
      </c>
    </row>
    <row r="149" spans="1:2" x14ac:dyDescent="0.25">
      <c r="A149" t="s">
        <v>26</v>
      </c>
      <c r="B149" t="str" cm="1">
        <f t="array" ref="B149">categorize(Table2[[#This Row],[Input Here]])</f>
        <v/>
      </c>
    </row>
    <row r="150" spans="1:2" x14ac:dyDescent="0.25">
      <c r="A150" t="s">
        <v>26</v>
      </c>
      <c r="B150" t="str" cm="1">
        <f t="array" ref="B150">categorize(Table2[[#This Row],[Input Here]])</f>
        <v/>
      </c>
    </row>
    <row r="151" spans="1:2" x14ac:dyDescent="0.25">
      <c r="A151" t="s">
        <v>26</v>
      </c>
      <c r="B151" t="str" cm="1">
        <f t="array" ref="B151">categorize(Table2[[#This Row],[Input Here]])</f>
        <v/>
      </c>
    </row>
    <row r="152" spans="1:2" x14ac:dyDescent="0.25">
      <c r="A152" t="s">
        <v>26</v>
      </c>
      <c r="B152" t="str" cm="1">
        <f t="array" ref="B152">categorize(Table2[[#This Row],[Input Here]])</f>
        <v/>
      </c>
    </row>
    <row r="153" spans="1:2" x14ac:dyDescent="0.25">
      <c r="A153" t="s">
        <v>24</v>
      </c>
      <c r="B153" t="str" cm="1">
        <f t="array" ref="B153">categorize(Table2[[#This Row],[Input Here]])</f>
        <v/>
      </c>
    </row>
    <row r="154" spans="1:2" x14ac:dyDescent="0.25">
      <c r="A154" t="s">
        <v>24</v>
      </c>
      <c r="B154" t="str" cm="1">
        <f t="array" ref="B154">categorize(Table2[[#This Row],[Input Here]])</f>
        <v/>
      </c>
    </row>
    <row r="155" spans="1:2" x14ac:dyDescent="0.25">
      <c r="A155" t="s">
        <v>24</v>
      </c>
      <c r="B155" t="str" cm="1">
        <f t="array" ref="B155">categorize(Table2[[#This Row],[Input Here]])</f>
        <v/>
      </c>
    </row>
    <row r="156" spans="1:2" x14ac:dyDescent="0.25">
      <c r="A156" t="s">
        <v>24</v>
      </c>
      <c r="B156" t="str" cm="1">
        <f t="array" ref="B156">categorize(Table2[[#This Row],[Input Here]])</f>
        <v/>
      </c>
    </row>
    <row r="157" spans="1:2" x14ac:dyDescent="0.25">
      <c r="A157" t="s">
        <v>39</v>
      </c>
      <c r="B157" t="str" cm="1">
        <f t="array" ref="B157">categorize(Table2[[#This Row],[Input Here]])</f>
        <v/>
      </c>
    </row>
    <row r="158" spans="1:2" x14ac:dyDescent="0.25">
      <c r="A158" t="s">
        <v>39</v>
      </c>
      <c r="B158" t="str" cm="1">
        <f t="array" ref="B158">categorize(Table2[[#This Row],[Input Here]])</f>
        <v/>
      </c>
    </row>
    <row r="159" spans="1:2" x14ac:dyDescent="0.25">
      <c r="A159" t="s">
        <v>39</v>
      </c>
      <c r="B159" t="str" cm="1">
        <f t="array" ref="B159">categorize(Table2[[#This Row],[Input Here]])</f>
        <v/>
      </c>
    </row>
    <row r="160" spans="1:2" x14ac:dyDescent="0.25">
      <c r="A160" t="s">
        <v>39</v>
      </c>
      <c r="B160" t="str" cm="1">
        <f t="array" ref="B160">categorize(Table2[[#This Row],[Input Here]])</f>
        <v/>
      </c>
    </row>
    <row r="161" spans="1:2" x14ac:dyDescent="0.25">
      <c r="A161" t="s">
        <v>39</v>
      </c>
      <c r="B161" t="str" cm="1">
        <f t="array" ref="B161">categorize(Table2[[#This Row],[Input Here]])</f>
        <v/>
      </c>
    </row>
    <row r="162" spans="1:2" x14ac:dyDescent="0.25">
      <c r="A162" t="s">
        <v>39</v>
      </c>
      <c r="B162" t="str" cm="1">
        <f t="array" ref="B162">categorize(Table2[[#This Row],[Input Here]])</f>
        <v/>
      </c>
    </row>
    <row r="163" spans="1:2" x14ac:dyDescent="0.25">
      <c r="A163" t="s">
        <v>39</v>
      </c>
      <c r="B163" t="str" cm="1">
        <f t="array" ref="B163">categorize(Table2[[#This Row],[Input Here]])</f>
        <v/>
      </c>
    </row>
    <row r="164" spans="1:2" x14ac:dyDescent="0.25">
      <c r="A164" t="s">
        <v>39</v>
      </c>
      <c r="B164" t="str" cm="1">
        <f t="array" ref="B164">categorize(Table2[[#This Row],[Input Here]])</f>
        <v/>
      </c>
    </row>
    <row r="165" spans="1:2" x14ac:dyDescent="0.25">
      <c r="A165" t="s">
        <v>24</v>
      </c>
      <c r="B165" t="str" cm="1">
        <f t="array" ref="B165">categorize(Table2[[#This Row],[Input Here]])</f>
        <v/>
      </c>
    </row>
    <row r="166" spans="1:2" x14ac:dyDescent="0.25">
      <c r="A166" t="s">
        <v>24</v>
      </c>
      <c r="B166" t="str" cm="1">
        <f t="array" ref="B166">categorize(Table2[[#This Row],[Input Here]])</f>
        <v/>
      </c>
    </row>
    <row r="167" spans="1:2" x14ac:dyDescent="0.25">
      <c r="A167" t="s">
        <v>24</v>
      </c>
      <c r="B167" t="str" cm="1">
        <f t="array" ref="B167">categorize(Table2[[#This Row],[Input Here]])</f>
        <v/>
      </c>
    </row>
    <row r="168" spans="1:2" x14ac:dyDescent="0.25">
      <c r="A168" t="s">
        <v>24</v>
      </c>
      <c r="B168" t="str" cm="1">
        <f t="array" ref="B168">categorize(Table2[[#This Row],[Input Here]])</f>
        <v/>
      </c>
    </row>
    <row r="169" spans="1:2" x14ac:dyDescent="0.25">
      <c r="A169" t="s">
        <v>24</v>
      </c>
      <c r="B169" t="str" cm="1">
        <f t="array" ref="B169">categorize(Table2[[#This Row],[Input Here]])</f>
        <v/>
      </c>
    </row>
    <row r="170" spans="1:2" x14ac:dyDescent="0.25">
      <c r="A170" t="s">
        <v>24</v>
      </c>
      <c r="B170" t="str" cm="1">
        <f t="array" ref="B170">categorize(Table2[[#This Row],[Input Here]])</f>
        <v/>
      </c>
    </row>
    <row r="171" spans="1:2" x14ac:dyDescent="0.25">
      <c r="A171" t="s">
        <v>24</v>
      </c>
      <c r="B171" t="str" cm="1">
        <f t="array" ref="B171">categorize(Table2[[#This Row],[Input Here]])</f>
        <v/>
      </c>
    </row>
    <row r="172" spans="1:2" x14ac:dyDescent="0.25">
      <c r="A172" t="s">
        <v>24</v>
      </c>
      <c r="B172" t="str" cm="1">
        <f t="array" ref="B172">categorize(Table2[[#This Row],[Input Here]])</f>
        <v/>
      </c>
    </row>
    <row r="173" spans="1:2" x14ac:dyDescent="0.25">
      <c r="A173" t="s">
        <v>24</v>
      </c>
      <c r="B173" t="str" cm="1">
        <f t="array" ref="B173">categorize(Table2[[#This Row],[Input Here]])</f>
        <v/>
      </c>
    </row>
    <row r="174" spans="1:2" x14ac:dyDescent="0.25">
      <c r="A174" t="s">
        <v>24</v>
      </c>
      <c r="B174" t="str" cm="1">
        <f t="array" ref="B174">categorize(Table2[[#This Row],[Input Here]])</f>
        <v/>
      </c>
    </row>
    <row r="175" spans="1:2" x14ac:dyDescent="0.25">
      <c r="A175" t="s">
        <v>24</v>
      </c>
      <c r="B175" t="str" cm="1">
        <f t="array" ref="B175">categorize(Table2[[#This Row],[Input Here]])</f>
        <v/>
      </c>
    </row>
    <row r="176" spans="1:2" x14ac:dyDescent="0.25">
      <c r="A176" t="s">
        <v>24</v>
      </c>
      <c r="B176" t="str" cm="1">
        <f t="array" ref="B176">categorize(Table2[[#This Row],[Input Here]])</f>
        <v/>
      </c>
    </row>
    <row r="177" spans="1:2" x14ac:dyDescent="0.25">
      <c r="A177" t="s">
        <v>24</v>
      </c>
      <c r="B177" t="str" cm="1">
        <f t="array" ref="B177">categorize(Table2[[#This Row],[Input Here]])</f>
        <v/>
      </c>
    </row>
    <row r="178" spans="1:2" x14ac:dyDescent="0.25">
      <c r="A178" t="s">
        <v>24</v>
      </c>
      <c r="B178" t="str" cm="1">
        <f t="array" ref="B178">categorize(Table2[[#This Row],[Input Here]])</f>
        <v/>
      </c>
    </row>
    <row r="179" spans="1:2" x14ac:dyDescent="0.25">
      <c r="A179" t="s">
        <v>24</v>
      </c>
      <c r="B179" t="str" cm="1">
        <f t="array" ref="B179">categorize(Table2[[#This Row],[Input Here]])</f>
        <v/>
      </c>
    </row>
    <row r="180" spans="1:2" x14ac:dyDescent="0.25">
      <c r="A180" t="s">
        <v>24</v>
      </c>
      <c r="B180" t="str" cm="1">
        <f t="array" ref="B180">categorize(Table2[[#This Row],[Input Here]])</f>
        <v/>
      </c>
    </row>
    <row r="181" spans="1:2" x14ac:dyDescent="0.25">
      <c r="A181" t="s">
        <v>24</v>
      </c>
      <c r="B181" t="str" cm="1">
        <f t="array" ref="B181">categorize(Table2[[#This Row],[Input Here]])</f>
        <v/>
      </c>
    </row>
    <row r="182" spans="1:2" x14ac:dyDescent="0.25">
      <c r="A182" t="s">
        <v>24</v>
      </c>
      <c r="B182" t="str" cm="1">
        <f t="array" ref="B182">categorize(Table2[[#This Row],[Input Here]])</f>
        <v/>
      </c>
    </row>
    <row r="183" spans="1:2" x14ac:dyDescent="0.25">
      <c r="A183" t="s">
        <v>24</v>
      </c>
      <c r="B183" t="str" cm="1">
        <f t="array" ref="B183">categorize(Table2[[#This Row],[Input Here]])</f>
        <v/>
      </c>
    </row>
    <row r="184" spans="1:2" x14ac:dyDescent="0.25">
      <c r="A184" t="s">
        <v>24</v>
      </c>
      <c r="B184" t="str" cm="1">
        <f t="array" ref="B184">categorize(Table2[[#This Row],[Input Here]])</f>
        <v/>
      </c>
    </row>
    <row r="185" spans="1:2" x14ac:dyDescent="0.25">
      <c r="A185" t="s">
        <v>24</v>
      </c>
      <c r="B185" t="str" cm="1">
        <f t="array" ref="B185">categorize(Table2[[#This Row],[Input Here]])</f>
        <v/>
      </c>
    </row>
    <row r="186" spans="1:2" x14ac:dyDescent="0.25">
      <c r="A186" t="s">
        <v>24</v>
      </c>
      <c r="B186" t="str" cm="1">
        <f t="array" ref="B186">categorize(Table2[[#This Row],[Input Here]])</f>
        <v/>
      </c>
    </row>
    <row r="187" spans="1:2" x14ac:dyDescent="0.25">
      <c r="A187" t="s">
        <v>24</v>
      </c>
      <c r="B187" t="str" cm="1">
        <f t="array" ref="B187">categorize(Table2[[#This Row],[Input Here]])</f>
        <v/>
      </c>
    </row>
    <row r="188" spans="1:2" x14ac:dyDescent="0.25">
      <c r="A188" t="s">
        <v>24</v>
      </c>
      <c r="B188" t="str" cm="1">
        <f t="array" ref="B188">categorize(Table2[[#This Row],[Input Here]])</f>
        <v/>
      </c>
    </row>
    <row r="189" spans="1:2" x14ac:dyDescent="0.25">
      <c r="A189" t="s">
        <v>24</v>
      </c>
      <c r="B189" t="str" cm="1">
        <f t="array" ref="B189">categorize(Table2[[#This Row],[Input Here]])</f>
        <v/>
      </c>
    </row>
    <row r="190" spans="1:2" x14ac:dyDescent="0.25">
      <c r="A190" t="s">
        <v>24</v>
      </c>
      <c r="B190" t="str" cm="1">
        <f t="array" ref="B190">categorize(Table2[[#This Row],[Input Here]])</f>
        <v/>
      </c>
    </row>
    <row r="191" spans="1:2" x14ac:dyDescent="0.25">
      <c r="A191" t="s">
        <v>24</v>
      </c>
      <c r="B191" t="str" cm="1">
        <f t="array" ref="B191">categorize(Table2[[#This Row],[Input Here]])</f>
        <v/>
      </c>
    </row>
    <row r="192" spans="1:2" x14ac:dyDescent="0.25">
      <c r="A192" t="s">
        <v>24</v>
      </c>
      <c r="B192" t="str" cm="1">
        <f t="array" ref="B192">categorize(Table2[[#This Row],[Input Here]])</f>
        <v/>
      </c>
    </row>
    <row r="193" spans="1:2" x14ac:dyDescent="0.25">
      <c r="A193" t="s">
        <v>24</v>
      </c>
      <c r="B193" t="str" cm="1">
        <f t="array" ref="B193">categorize(Table2[[#This Row],[Input Here]])</f>
        <v/>
      </c>
    </row>
    <row r="194" spans="1:2" x14ac:dyDescent="0.25">
      <c r="A194" t="s">
        <v>24</v>
      </c>
      <c r="B194" t="str" cm="1">
        <f t="array" ref="B194">categorize(Table2[[#This Row],[Input Here]])</f>
        <v/>
      </c>
    </row>
    <row r="195" spans="1:2" x14ac:dyDescent="0.25">
      <c r="A195" t="s">
        <v>24</v>
      </c>
      <c r="B195" t="str" cm="1">
        <f t="array" ref="B195">categorize(Table2[[#This Row],[Input Here]])</f>
        <v/>
      </c>
    </row>
    <row r="196" spans="1:2" x14ac:dyDescent="0.25">
      <c r="A196" t="s">
        <v>41</v>
      </c>
      <c r="B196" t="str" cm="1">
        <f t="array" ref="B196">categorize(Table2[[#This Row],[Input Here]])</f>
        <v/>
      </c>
    </row>
    <row r="197" spans="1:2" x14ac:dyDescent="0.25">
      <c r="A197" t="s">
        <v>24</v>
      </c>
      <c r="B197" t="str" cm="1">
        <f t="array" ref="B197">categorize(Table2[[#This Row],[Input Here]])</f>
        <v/>
      </c>
    </row>
    <row r="198" spans="1:2" x14ac:dyDescent="0.25">
      <c r="A198" t="s">
        <v>41</v>
      </c>
      <c r="B198" t="str" cm="1">
        <f t="array" ref="B198">categorize(Table2[[#This Row],[Input Here]])</f>
        <v/>
      </c>
    </row>
    <row r="199" spans="1:2" x14ac:dyDescent="0.25">
      <c r="A199" t="s">
        <v>41</v>
      </c>
      <c r="B199" t="str" cm="1">
        <f t="array" ref="B199">categorize(Table2[[#This Row],[Input Here]])</f>
        <v/>
      </c>
    </row>
    <row r="200" spans="1:2" x14ac:dyDescent="0.25">
      <c r="A200" t="s">
        <v>26</v>
      </c>
      <c r="B200" t="str" cm="1">
        <f t="array" ref="B200">categorize(Table2[[#This Row],[Input Here]])</f>
        <v/>
      </c>
    </row>
    <row r="201" spans="1:2" x14ac:dyDescent="0.25">
      <c r="A201" t="s">
        <v>26</v>
      </c>
      <c r="B201" t="str" cm="1">
        <f t="array" ref="B201">categorize(Table2[[#This Row],[Input Here]])</f>
        <v/>
      </c>
    </row>
    <row r="202" spans="1:2" x14ac:dyDescent="0.25">
      <c r="A202" t="s">
        <v>26</v>
      </c>
      <c r="B202" t="str" cm="1">
        <f t="array" ref="B202">categorize(Table2[[#This Row],[Input Here]])</f>
        <v/>
      </c>
    </row>
    <row r="203" spans="1:2" x14ac:dyDescent="0.25">
      <c r="A203" t="s">
        <v>26</v>
      </c>
      <c r="B203" t="str" cm="1">
        <f t="array" ref="B203">categorize(Table2[[#This Row],[Input Here]])</f>
        <v/>
      </c>
    </row>
    <row r="204" spans="1:2" x14ac:dyDescent="0.25">
      <c r="A204" t="s">
        <v>26</v>
      </c>
      <c r="B204" t="str" cm="1">
        <f t="array" ref="B204">categorize(Table2[[#This Row],[Input Here]])</f>
        <v/>
      </c>
    </row>
    <row r="205" spans="1:2" x14ac:dyDescent="0.25">
      <c r="A205" t="s">
        <v>39</v>
      </c>
      <c r="B205" t="str" cm="1">
        <f t="array" ref="B205">categorize(Table2[[#This Row],[Input Here]])</f>
        <v/>
      </c>
    </row>
    <row r="206" spans="1:2" x14ac:dyDescent="0.25">
      <c r="A206" t="s">
        <v>39</v>
      </c>
      <c r="B206" t="str" cm="1">
        <f t="array" ref="B206">categorize(Table2[[#This Row],[Input Here]])</f>
        <v/>
      </c>
    </row>
    <row r="207" spans="1:2" x14ac:dyDescent="0.25">
      <c r="A207" t="s">
        <v>41</v>
      </c>
      <c r="B207" t="str" cm="1">
        <f t="array" ref="B207">categorize(Table2[[#This Row],[Input Here]])</f>
        <v/>
      </c>
    </row>
    <row r="208" spans="1:2" x14ac:dyDescent="0.25">
      <c r="B208" t="str" cm="1">
        <f t="array" ref="B208">categorize(Table2[[#This Row],[Input Here]])</f>
        <v/>
      </c>
    </row>
    <row r="209" spans="1:2" x14ac:dyDescent="0.25">
      <c r="A209" t="s">
        <v>19</v>
      </c>
      <c r="B209" t="str" cm="1">
        <f t="array" ref="B209">categorize(Table2[[#This Row],[Input Here]])</f>
        <v/>
      </c>
    </row>
    <row r="210" spans="1:2" x14ac:dyDescent="0.25">
      <c r="A210" t="s">
        <v>19</v>
      </c>
      <c r="B210" t="str" cm="1">
        <f t="array" ref="B210">categorize(Table2[[#This Row],[Input Here]])</f>
        <v/>
      </c>
    </row>
    <row r="211" spans="1:2" x14ac:dyDescent="0.25">
      <c r="A211" t="s">
        <v>19</v>
      </c>
      <c r="B211" t="str" cm="1">
        <f t="array" ref="B211">categorize(Table2[[#This Row],[Input Here]])</f>
        <v/>
      </c>
    </row>
    <row r="212" spans="1:2" x14ac:dyDescent="0.25">
      <c r="A212" t="s">
        <v>37</v>
      </c>
      <c r="B212" t="str" cm="1">
        <f t="array" ref="B212">categorize(Table2[[#This Row],[Input Here]])</f>
        <v/>
      </c>
    </row>
    <row r="213" spans="1:2" x14ac:dyDescent="0.25">
      <c r="A213" t="s">
        <v>19</v>
      </c>
      <c r="B213" t="str" cm="1">
        <f t="array" ref="B213">categorize(Table2[[#This Row],[Input Here]])</f>
        <v/>
      </c>
    </row>
    <row r="214" spans="1:2" x14ac:dyDescent="0.25">
      <c r="A214" t="s">
        <v>19</v>
      </c>
      <c r="B214" t="str" cm="1">
        <f t="array" ref="B214">categorize(Table2[[#This Row],[Input Here]])</f>
        <v/>
      </c>
    </row>
    <row r="215" spans="1:2" x14ac:dyDescent="0.25">
      <c r="A215" t="s">
        <v>37</v>
      </c>
      <c r="B215" t="str" cm="1">
        <f t="array" ref="B215">categorize(Table2[[#This Row],[Input Here]])</f>
        <v/>
      </c>
    </row>
    <row r="216" spans="1:2" x14ac:dyDescent="0.25">
      <c r="A216" t="s">
        <v>26</v>
      </c>
      <c r="B216" t="str" cm="1">
        <f t="array" ref="B216">categorize(Table2[[#This Row],[Input Here]])</f>
        <v/>
      </c>
    </row>
    <row r="217" spans="1:2" x14ac:dyDescent="0.25">
      <c r="A217" t="s">
        <v>34</v>
      </c>
      <c r="B217" t="str" cm="1">
        <f t="array" ref="B217">categorize(Table2[[#This Row],[Input Here]])</f>
        <v/>
      </c>
    </row>
    <row r="218" spans="1:2" x14ac:dyDescent="0.25">
      <c r="A218" t="s">
        <v>34</v>
      </c>
      <c r="B218" t="str" cm="1">
        <f t="array" ref="B218">categorize(Table2[[#This Row],[Input Here]])</f>
        <v/>
      </c>
    </row>
    <row r="219" spans="1:2" x14ac:dyDescent="0.25">
      <c r="A219" t="s">
        <v>19</v>
      </c>
      <c r="B219" t="str" cm="1">
        <f t="array" ref="B219">categorize(Table2[[#This Row],[Input Here]])</f>
        <v/>
      </c>
    </row>
    <row r="220" spans="1:2" x14ac:dyDescent="0.25">
      <c r="A220" t="s">
        <v>24</v>
      </c>
      <c r="B220" t="str" cm="1">
        <f t="array" ref="B220">categorize(Table2[[#This Row],[Input Here]])</f>
        <v/>
      </c>
    </row>
    <row r="221" spans="1:2" x14ac:dyDescent="0.25">
      <c r="A221" t="s">
        <v>24</v>
      </c>
      <c r="B221" t="str" cm="1">
        <f t="array" ref="B221">categorize(Table2[[#This Row],[Input Here]])</f>
        <v/>
      </c>
    </row>
    <row r="222" spans="1:2" x14ac:dyDescent="0.25">
      <c r="A222" t="s">
        <v>24</v>
      </c>
      <c r="B222" t="str" cm="1">
        <f t="array" ref="B222">categorize(Table2[[#This Row],[Input Here]])</f>
        <v/>
      </c>
    </row>
    <row r="223" spans="1:2" x14ac:dyDescent="0.25">
      <c r="A223" t="s">
        <v>24</v>
      </c>
      <c r="B223" t="str" cm="1">
        <f t="array" ref="B223">categorize(Table2[[#This Row],[Input Here]])</f>
        <v/>
      </c>
    </row>
    <row r="224" spans="1:2" x14ac:dyDescent="0.25">
      <c r="A224" t="s">
        <v>24</v>
      </c>
      <c r="B224" t="str" cm="1">
        <f t="array" ref="B224">categorize(Table2[[#This Row],[Input Here]])</f>
        <v/>
      </c>
    </row>
    <row r="225" spans="1:2" x14ac:dyDescent="0.25">
      <c r="A225" t="s">
        <v>24</v>
      </c>
      <c r="B225" t="str" cm="1">
        <f t="array" ref="B225">categorize(Table2[[#This Row],[Input Here]])</f>
        <v/>
      </c>
    </row>
    <row r="226" spans="1:2" x14ac:dyDescent="0.25">
      <c r="A226" t="s">
        <v>24</v>
      </c>
      <c r="B226" t="str" cm="1">
        <f t="array" ref="B226">categorize(Table2[[#This Row],[Input Here]])</f>
        <v/>
      </c>
    </row>
    <row r="227" spans="1:2" x14ac:dyDescent="0.25">
      <c r="A227" t="s">
        <v>24</v>
      </c>
      <c r="B227" t="str" cm="1">
        <f t="array" ref="B227">categorize(Table2[[#This Row],[Input Here]])</f>
        <v/>
      </c>
    </row>
    <row r="228" spans="1:2" x14ac:dyDescent="0.25">
      <c r="A228" t="s">
        <v>39</v>
      </c>
      <c r="B228" t="str" cm="1">
        <f t="array" ref="B228">categorize(Table2[[#This Row],[Input Here]])</f>
        <v/>
      </c>
    </row>
    <row r="229" spans="1:2" x14ac:dyDescent="0.25">
      <c r="A229" t="s">
        <v>39</v>
      </c>
      <c r="B229" t="str" cm="1">
        <f t="array" ref="B229">categorize(Table2[[#This Row],[Input Here]])</f>
        <v/>
      </c>
    </row>
    <row r="230" spans="1:2" x14ac:dyDescent="0.25">
      <c r="A230" t="s">
        <v>39</v>
      </c>
      <c r="B230" t="str" cm="1">
        <f t="array" ref="B230">categorize(Table2[[#This Row],[Input Here]])</f>
        <v/>
      </c>
    </row>
    <row r="231" spans="1:2" x14ac:dyDescent="0.25">
      <c r="A231" t="s">
        <v>39</v>
      </c>
      <c r="B231" t="str" cm="1">
        <f t="array" ref="B231">categorize(Table2[[#This Row],[Input Here]])</f>
        <v/>
      </c>
    </row>
    <row r="232" spans="1:2" x14ac:dyDescent="0.25">
      <c r="A232" t="s">
        <v>39</v>
      </c>
      <c r="B232" t="str" cm="1">
        <f t="array" ref="B232">categorize(Table2[[#This Row],[Input Here]])</f>
        <v/>
      </c>
    </row>
    <row r="233" spans="1:2" x14ac:dyDescent="0.25">
      <c r="A233" t="s">
        <v>39</v>
      </c>
      <c r="B233" t="str" cm="1">
        <f t="array" ref="B233">categorize(Table2[[#This Row],[Input Here]])</f>
        <v/>
      </c>
    </row>
    <row r="234" spans="1:2" x14ac:dyDescent="0.25">
      <c r="A234" t="s">
        <v>39</v>
      </c>
      <c r="B234" t="str" cm="1">
        <f t="array" ref="B234">categorize(Table2[[#This Row],[Input Here]])</f>
        <v/>
      </c>
    </row>
    <row r="235" spans="1:2" x14ac:dyDescent="0.25">
      <c r="A235" t="s">
        <v>24</v>
      </c>
      <c r="B235" t="str" cm="1">
        <f t="array" ref="B235">categorize(Table2[[#This Row],[Input Here]])</f>
        <v/>
      </c>
    </row>
    <row r="236" spans="1:2" x14ac:dyDescent="0.25">
      <c r="A236" t="s">
        <v>24</v>
      </c>
      <c r="B236" t="str" cm="1">
        <f t="array" ref="B236">categorize(Table2[[#This Row],[Input Here]])</f>
        <v/>
      </c>
    </row>
    <row r="237" spans="1:2" x14ac:dyDescent="0.25">
      <c r="A237" t="s">
        <v>24</v>
      </c>
      <c r="B237" t="str" cm="1">
        <f t="array" ref="B237">categorize(Table2[[#This Row],[Input Here]])</f>
        <v/>
      </c>
    </row>
    <row r="238" spans="1:2" x14ac:dyDescent="0.25">
      <c r="A238" t="s">
        <v>24</v>
      </c>
      <c r="B238" t="str" cm="1">
        <f t="array" ref="B238">categorize(Table2[[#This Row],[Input Here]])</f>
        <v/>
      </c>
    </row>
    <row r="239" spans="1:2" x14ac:dyDescent="0.25">
      <c r="A239" t="s">
        <v>24</v>
      </c>
      <c r="B239" t="str" cm="1">
        <f t="array" ref="B239">categorize(Table2[[#This Row],[Input Here]])</f>
        <v/>
      </c>
    </row>
    <row r="240" spans="1:2" x14ac:dyDescent="0.25">
      <c r="A240" t="s">
        <v>24</v>
      </c>
      <c r="B240" t="str" cm="1">
        <f t="array" ref="B240">categorize(Table2[[#This Row],[Input Here]])</f>
        <v/>
      </c>
    </row>
    <row r="241" spans="1:2" x14ac:dyDescent="0.25">
      <c r="A241" t="s">
        <v>24</v>
      </c>
      <c r="B241" t="str" cm="1">
        <f t="array" ref="B241">categorize(Table2[[#This Row],[Input Here]])</f>
        <v/>
      </c>
    </row>
    <row r="242" spans="1:2" x14ac:dyDescent="0.25">
      <c r="A242" t="s">
        <v>24</v>
      </c>
      <c r="B242" t="str" cm="1">
        <f t="array" ref="B242">categorize(Table2[[#This Row],[Input Here]])</f>
        <v/>
      </c>
    </row>
    <row r="243" spans="1:2" x14ac:dyDescent="0.25">
      <c r="A243" t="s">
        <v>24</v>
      </c>
      <c r="B243" t="str" cm="1">
        <f t="array" ref="B243">categorize(Table2[[#This Row],[Input Here]])</f>
        <v/>
      </c>
    </row>
    <row r="244" spans="1:2" x14ac:dyDescent="0.25">
      <c r="A244" t="s">
        <v>24</v>
      </c>
      <c r="B244" t="str" cm="1">
        <f t="array" ref="B244">categorize(Table2[[#This Row],[Input Here]])</f>
        <v/>
      </c>
    </row>
    <row r="245" spans="1:2" x14ac:dyDescent="0.25">
      <c r="A245" t="s">
        <v>24</v>
      </c>
      <c r="B245" t="str" cm="1">
        <f t="array" ref="B245">categorize(Table2[[#This Row],[Input Here]])</f>
        <v/>
      </c>
    </row>
    <row r="246" spans="1:2" x14ac:dyDescent="0.25">
      <c r="A246" t="s">
        <v>24</v>
      </c>
      <c r="B246" t="str" cm="1">
        <f t="array" ref="B246">categorize(Table2[[#This Row],[Input Here]])</f>
        <v/>
      </c>
    </row>
    <row r="247" spans="1:2" x14ac:dyDescent="0.25">
      <c r="A247" t="s">
        <v>41</v>
      </c>
      <c r="B247" t="str" cm="1">
        <f t="array" ref="B247">categorize(Table2[[#This Row],[Input Here]])</f>
        <v/>
      </c>
    </row>
    <row r="248" spans="1:2" x14ac:dyDescent="0.25">
      <c r="A248" t="s">
        <v>41</v>
      </c>
      <c r="B248" t="str" cm="1">
        <f t="array" ref="B248">categorize(Table2[[#This Row],[Input Here]])</f>
        <v/>
      </c>
    </row>
    <row r="249" spans="1:2" x14ac:dyDescent="0.25">
      <c r="A249" t="s">
        <v>41</v>
      </c>
      <c r="B249" t="str" cm="1">
        <f t="array" ref="B249">categorize(Table2[[#This Row],[Input Here]])</f>
        <v/>
      </c>
    </row>
    <row r="250" spans="1:2" x14ac:dyDescent="0.25">
      <c r="A250" t="s">
        <v>41</v>
      </c>
      <c r="B250" t="str" cm="1">
        <f t="array" ref="B250">categorize(Table2[[#This Row],[Input Here]])</f>
        <v/>
      </c>
    </row>
    <row r="251" spans="1:2" x14ac:dyDescent="0.25">
      <c r="A251" t="s">
        <v>41</v>
      </c>
      <c r="B251" t="str" cm="1">
        <f t="array" ref="B251">categorize(Table2[[#This Row],[Input Here]])</f>
        <v/>
      </c>
    </row>
    <row r="252" spans="1:2" x14ac:dyDescent="0.25">
      <c r="A252" t="s">
        <v>10</v>
      </c>
      <c r="B252" t="str" cm="1">
        <f t="array" ref="B252">categorize(Table2[[#This Row],[Input Here]])</f>
        <v/>
      </c>
    </row>
    <row r="253" spans="1:2" x14ac:dyDescent="0.25">
      <c r="A253" t="s">
        <v>10</v>
      </c>
      <c r="B253" t="str" cm="1">
        <f t="array" ref="B253">categorize(Table2[[#This Row],[Input Here]])</f>
        <v/>
      </c>
    </row>
    <row r="254" spans="1:2" x14ac:dyDescent="0.25">
      <c r="A254" t="s">
        <v>10</v>
      </c>
      <c r="B254" t="str" cm="1">
        <f t="array" ref="B254">categorize(Table2[[#This Row],[Input Here]])</f>
        <v/>
      </c>
    </row>
    <row r="255" spans="1:2" x14ac:dyDescent="0.25">
      <c r="A255" t="s">
        <v>10</v>
      </c>
      <c r="B255" t="str" cm="1">
        <f t="array" ref="B255">categorize(Table2[[#This Row],[Input Here]])</f>
        <v/>
      </c>
    </row>
    <row r="256" spans="1:2" x14ac:dyDescent="0.25">
      <c r="A256" t="s">
        <v>10</v>
      </c>
      <c r="B256" t="str" cm="1">
        <f t="array" ref="B256">categorize(Table2[[#This Row],[Input Here]])</f>
        <v/>
      </c>
    </row>
    <row r="257" spans="1:2" x14ac:dyDescent="0.25">
      <c r="A257" t="s">
        <v>24</v>
      </c>
      <c r="B257" t="str" cm="1">
        <f t="array" ref="B257">categorize(Table2[[#This Row],[Input Here]])</f>
        <v/>
      </c>
    </row>
    <row r="258" spans="1:2" x14ac:dyDescent="0.25">
      <c r="A258" t="s">
        <v>24</v>
      </c>
      <c r="B258" t="str" cm="1">
        <f t="array" ref="B258">categorize(Table2[[#This Row],[Input Here]])</f>
        <v/>
      </c>
    </row>
    <row r="259" spans="1:2" x14ac:dyDescent="0.25">
      <c r="A259" t="s">
        <v>39</v>
      </c>
      <c r="B259" t="str" cm="1">
        <f t="array" ref="B259">categorize(Table2[[#This Row],[Input Here]])</f>
        <v/>
      </c>
    </row>
    <row r="260" spans="1:2" x14ac:dyDescent="0.25">
      <c r="A260" t="s">
        <v>39</v>
      </c>
      <c r="B260" t="str" cm="1">
        <f t="array" ref="B260">categorize(Table2[[#This Row],[Input Here]])</f>
        <v/>
      </c>
    </row>
    <row r="261" spans="1:2" x14ac:dyDescent="0.25">
      <c r="A261" t="s">
        <v>39</v>
      </c>
      <c r="B261" t="str" cm="1">
        <f t="array" ref="B261">categorize(Table2[[#This Row],[Input Here]])</f>
        <v/>
      </c>
    </row>
    <row r="262" spans="1:2" x14ac:dyDescent="0.25">
      <c r="A262" t="s">
        <v>39</v>
      </c>
      <c r="B262" t="str" cm="1">
        <f t="array" ref="B262">categorize(Table2[[#This Row],[Input Here]])</f>
        <v/>
      </c>
    </row>
    <row r="263" spans="1:2" x14ac:dyDescent="0.25">
      <c r="A263" t="s">
        <v>39</v>
      </c>
      <c r="B263" t="str" cm="1">
        <f t="array" ref="B263">categorize(Table2[[#This Row],[Input Here]])</f>
        <v/>
      </c>
    </row>
    <row r="264" spans="1:2" x14ac:dyDescent="0.25">
      <c r="A264" t="s">
        <v>39</v>
      </c>
      <c r="B264" t="str" cm="1">
        <f t="array" ref="B264">categorize(Table2[[#This Row],[Input Here]])</f>
        <v/>
      </c>
    </row>
    <row r="265" spans="1:2" x14ac:dyDescent="0.25">
      <c r="A265" t="s">
        <v>39</v>
      </c>
      <c r="B265" t="str" cm="1">
        <f t="array" ref="B265">categorize(Table2[[#This Row],[Input Here]])</f>
        <v/>
      </c>
    </row>
    <row r="266" spans="1:2" x14ac:dyDescent="0.25">
      <c r="A266" t="s">
        <v>39</v>
      </c>
      <c r="B266" t="str" cm="1">
        <f t="array" ref="B266">categorize(Table2[[#This Row],[Input Here]])</f>
        <v/>
      </c>
    </row>
    <row r="267" spans="1:2" x14ac:dyDescent="0.25">
      <c r="A267" t="s">
        <v>39</v>
      </c>
      <c r="B267" t="str" cm="1">
        <f t="array" ref="B267">categorize(Table2[[#This Row],[Input Here]])</f>
        <v/>
      </c>
    </row>
    <row r="268" spans="1:2" x14ac:dyDescent="0.25">
      <c r="A268" t="s">
        <v>39</v>
      </c>
      <c r="B268" t="str" cm="1">
        <f t="array" ref="B268">categorize(Table2[[#This Row],[Input Here]])</f>
        <v/>
      </c>
    </row>
    <row r="269" spans="1:2" x14ac:dyDescent="0.25">
      <c r="A269" t="s">
        <v>39</v>
      </c>
      <c r="B269" t="str" cm="1">
        <f t="array" ref="B269">categorize(Table2[[#This Row],[Input Here]])</f>
        <v/>
      </c>
    </row>
    <row r="270" spans="1:2" x14ac:dyDescent="0.25">
      <c r="A270" t="s">
        <v>24</v>
      </c>
      <c r="B270" t="str" cm="1">
        <f t="array" ref="B270">categorize(Table2[[#This Row],[Input Here]])</f>
        <v/>
      </c>
    </row>
    <row r="271" spans="1:2" x14ac:dyDescent="0.25">
      <c r="A271" t="s">
        <v>24</v>
      </c>
      <c r="B271" t="str" cm="1">
        <f t="array" ref="B271">categorize(Table2[[#This Row],[Input Here]])</f>
        <v/>
      </c>
    </row>
    <row r="272" spans="1:2" x14ac:dyDescent="0.25">
      <c r="A272" t="s">
        <v>24</v>
      </c>
      <c r="B272" t="str" cm="1">
        <f t="array" ref="B272">categorize(Table2[[#This Row],[Input Here]])</f>
        <v/>
      </c>
    </row>
    <row r="273" spans="1:2" x14ac:dyDescent="0.25">
      <c r="A273" t="s">
        <v>24</v>
      </c>
      <c r="B273" t="str" cm="1">
        <f t="array" ref="B273">categorize(Table2[[#This Row],[Input Here]])</f>
        <v/>
      </c>
    </row>
    <row r="274" spans="1:2" x14ac:dyDescent="0.25">
      <c r="A274" t="s">
        <v>24</v>
      </c>
      <c r="B274" t="str" cm="1">
        <f t="array" ref="B274">categorize(Table2[[#This Row],[Input Here]])</f>
        <v/>
      </c>
    </row>
    <row r="275" spans="1:2" x14ac:dyDescent="0.25">
      <c r="A275" t="s">
        <v>24</v>
      </c>
      <c r="B275" t="str" cm="1">
        <f t="array" ref="B275">categorize(Table2[[#This Row],[Input Here]])</f>
        <v/>
      </c>
    </row>
    <row r="276" spans="1:2" x14ac:dyDescent="0.25">
      <c r="A276" t="s">
        <v>24</v>
      </c>
      <c r="B276" t="str" cm="1">
        <f t="array" ref="B276">categorize(Table2[[#This Row],[Input Here]])</f>
        <v/>
      </c>
    </row>
    <row r="277" spans="1:2" x14ac:dyDescent="0.25">
      <c r="A277" t="s">
        <v>24</v>
      </c>
      <c r="B277" t="str" cm="1">
        <f t="array" ref="B277">categorize(Table2[[#This Row],[Input Here]])</f>
        <v/>
      </c>
    </row>
    <row r="278" spans="1:2" x14ac:dyDescent="0.25">
      <c r="A278" t="s">
        <v>24</v>
      </c>
      <c r="B278" t="str" cm="1">
        <f t="array" ref="B278">categorize(Table2[[#This Row],[Input Here]])</f>
        <v/>
      </c>
    </row>
    <row r="279" spans="1:2" x14ac:dyDescent="0.25">
      <c r="A279" t="s">
        <v>24</v>
      </c>
      <c r="B279" t="str" cm="1">
        <f t="array" ref="B279">categorize(Table2[[#This Row],[Input Here]])</f>
        <v/>
      </c>
    </row>
    <row r="280" spans="1:2" x14ac:dyDescent="0.25">
      <c r="A280" t="s">
        <v>24</v>
      </c>
      <c r="B280" t="str" cm="1">
        <f t="array" ref="B280">categorize(Table2[[#This Row],[Input Here]])</f>
        <v/>
      </c>
    </row>
    <row r="281" spans="1:2" x14ac:dyDescent="0.25">
      <c r="A281" t="s">
        <v>24</v>
      </c>
      <c r="B281" t="str" cm="1">
        <f t="array" ref="B281">categorize(Table2[[#This Row],[Input Here]])</f>
        <v/>
      </c>
    </row>
    <row r="282" spans="1:2" x14ac:dyDescent="0.25">
      <c r="A282" t="s">
        <v>24</v>
      </c>
      <c r="B282" t="str" cm="1">
        <f t="array" ref="B282">categorize(Table2[[#This Row],[Input Here]])</f>
        <v/>
      </c>
    </row>
    <row r="283" spans="1:2" x14ac:dyDescent="0.25">
      <c r="A283" t="s">
        <v>24</v>
      </c>
      <c r="B283" t="str" cm="1">
        <f t="array" ref="B283">categorize(Table2[[#This Row],[Input Here]])</f>
        <v/>
      </c>
    </row>
    <row r="284" spans="1:2" x14ac:dyDescent="0.25">
      <c r="A284" t="s">
        <v>24</v>
      </c>
      <c r="B284" t="str" cm="1">
        <f t="array" ref="B284">categorize(Table2[[#This Row],[Input Here]])</f>
        <v/>
      </c>
    </row>
    <row r="285" spans="1:2" x14ac:dyDescent="0.25">
      <c r="A285" t="s">
        <v>24</v>
      </c>
      <c r="B285" t="str" cm="1">
        <f t="array" ref="B285">categorize(Table2[[#This Row],[Input Here]])</f>
        <v/>
      </c>
    </row>
    <row r="286" spans="1:2" x14ac:dyDescent="0.25">
      <c r="A286" t="s">
        <v>24</v>
      </c>
      <c r="B286" t="str" cm="1">
        <f t="array" ref="B286">categorize(Table2[[#This Row],[Input Here]])</f>
        <v/>
      </c>
    </row>
    <row r="287" spans="1:2" x14ac:dyDescent="0.25">
      <c r="A287" t="s">
        <v>24</v>
      </c>
      <c r="B287" t="str" cm="1">
        <f t="array" ref="B287">categorize(Table2[[#This Row],[Input Here]])</f>
        <v/>
      </c>
    </row>
    <row r="288" spans="1:2" x14ac:dyDescent="0.25">
      <c r="A288" t="s">
        <v>24</v>
      </c>
      <c r="B288" t="str" cm="1">
        <f t="array" ref="B288">categorize(Table2[[#This Row],[Input Here]])</f>
        <v/>
      </c>
    </row>
    <row r="289" spans="1:2" x14ac:dyDescent="0.25">
      <c r="A289" t="s">
        <v>24</v>
      </c>
      <c r="B289" t="str" cm="1">
        <f t="array" ref="B289">categorize(Table2[[#This Row],[Input Here]])</f>
        <v/>
      </c>
    </row>
    <row r="290" spans="1:2" x14ac:dyDescent="0.25">
      <c r="A290" t="s">
        <v>24</v>
      </c>
      <c r="B290" t="str" cm="1">
        <f t="array" ref="B290">categorize(Table2[[#This Row],[Input Here]])</f>
        <v/>
      </c>
    </row>
    <row r="291" spans="1:2" x14ac:dyDescent="0.25">
      <c r="A291" t="s">
        <v>24</v>
      </c>
      <c r="B291" t="str" cm="1">
        <f t="array" ref="B291">categorize(Table2[[#This Row],[Input Here]])</f>
        <v/>
      </c>
    </row>
    <row r="292" spans="1:2" x14ac:dyDescent="0.25">
      <c r="A292" t="s">
        <v>24</v>
      </c>
      <c r="B292" t="str" cm="1">
        <f t="array" ref="B292">categorize(Table2[[#This Row],[Input Here]])</f>
        <v/>
      </c>
    </row>
    <row r="293" spans="1:2" x14ac:dyDescent="0.25">
      <c r="A293" t="s">
        <v>24</v>
      </c>
      <c r="B293" t="str" cm="1">
        <f t="array" ref="B293">categorize(Table2[[#This Row],[Input Here]])</f>
        <v/>
      </c>
    </row>
    <row r="294" spans="1:2" x14ac:dyDescent="0.25">
      <c r="A294" t="s">
        <v>24</v>
      </c>
      <c r="B294" t="str" cm="1">
        <f t="array" ref="B294">categorize(Table2[[#This Row],[Input Here]])</f>
        <v/>
      </c>
    </row>
    <row r="295" spans="1:2" x14ac:dyDescent="0.25">
      <c r="A295" t="s">
        <v>24</v>
      </c>
      <c r="B295" t="str" cm="1">
        <f t="array" ref="B295">categorize(Table2[[#This Row],[Input Here]])</f>
        <v/>
      </c>
    </row>
    <row r="296" spans="1:2" x14ac:dyDescent="0.25">
      <c r="A296" t="s">
        <v>24</v>
      </c>
      <c r="B296" t="str" cm="1">
        <f t="array" ref="B296">categorize(Table2[[#This Row],[Input Here]])</f>
        <v/>
      </c>
    </row>
    <row r="297" spans="1:2" x14ac:dyDescent="0.25">
      <c r="A297" t="s">
        <v>24</v>
      </c>
      <c r="B297" t="str" cm="1">
        <f t="array" ref="B297">categorize(Table2[[#This Row],[Input Here]])</f>
        <v/>
      </c>
    </row>
    <row r="298" spans="1:2" x14ac:dyDescent="0.25">
      <c r="A298" t="s">
        <v>41</v>
      </c>
      <c r="B298" t="str" cm="1">
        <f t="array" ref="B298">categorize(Table2[[#This Row],[Input Here]])</f>
        <v/>
      </c>
    </row>
    <row r="299" spans="1:2" x14ac:dyDescent="0.25">
      <c r="A299" t="s">
        <v>24</v>
      </c>
      <c r="B299" t="str" cm="1">
        <f t="array" ref="B299">categorize(Table2[[#This Row],[Input Here]])</f>
        <v/>
      </c>
    </row>
    <row r="300" spans="1:2" x14ac:dyDescent="0.25">
      <c r="A300" t="s">
        <v>24</v>
      </c>
      <c r="B300" t="str" cm="1">
        <f t="array" ref="B300">categorize(Table2[[#This Row],[Input Here]])</f>
        <v/>
      </c>
    </row>
    <row r="301" spans="1:2" x14ac:dyDescent="0.25">
      <c r="A301" t="s">
        <v>6</v>
      </c>
      <c r="B301" t="str" cm="1">
        <f t="array" ref="B301">categorize(Table2[[#This Row],[Input Here]])</f>
        <v/>
      </c>
    </row>
    <row r="302" spans="1:2" x14ac:dyDescent="0.25">
      <c r="A302" t="s">
        <v>11</v>
      </c>
      <c r="B302" t="str" cm="1">
        <f t="array" ref="B302">categorize(Table2[[#This Row],[Input Here]])</f>
        <v/>
      </c>
    </row>
    <row r="303" spans="1:2" x14ac:dyDescent="0.25">
      <c r="A303" t="s">
        <v>32</v>
      </c>
      <c r="B303" t="str" cm="1">
        <f t="array" ref="B303">categorize(Table2[[#This Row],[Input Here]])</f>
        <v/>
      </c>
    </row>
    <row r="304" spans="1:2" x14ac:dyDescent="0.25">
      <c r="A304" t="s">
        <v>22</v>
      </c>
      <c r="B304" t="str" cm="1">
        <f t="array" ref="B304">categorize(Table2[[#This Row],[Input Here]])</f>
        <v/>
      </c>
    </row>
    <row r="305" spans="1:2" x14ac:dyDescent="0.25">
      <c r="A305" t="s">
        <v>33</v>
      </c>
      <c r="B305" t="str" cm="1">
        <f t="array" ref="B305">categorize(Table2[[#This Row],[Input Here]])</f>
        <v/>
      </c>
    </row>
    <row r="306" spans="1:2" x14ac:dyDescent="0.25">
      <c r="A306" t="s">
        <v>16</v>
      </c>
      <c r="B306" t="str" cm="1">
        <f t="array" ref="B306">categorize(Table2[[#This Row],[Input Here]])</f>
        <v/>
      </c>
    </row>
    <row r="307" spans="1:2" x14ac:dyDescent="0.25">
      <c r="A307" t="s">
        <v>40</v>
      </c>
      <c r="B307" t="str" cm="1">
        <f t="array" ref="B307">categorize(Table2[[#This Row],[Input Here]])</f>
        <v/>
      </c>
    </row>
    <row r="308" spans="1:2" x14ac:dyDescent="0.25">
      <c r="A308" t="s">
        <v>40</v>
      </c>
      <c r="B308" t="str" cm="1">
        <f t="array" ref="B308">categorize(Table2[[#This Row],[Input Here]])</f>
        <v/>
      </c>
    </row>
    <row r="309" spans="1:2" x14ac:dyDescent="0.25">
      <c r="A309" t="s">
        <v>6</v>
      </c>
      <c r="B309" t="str" cm="1">
        <f t="array" ref="B309">categorize(Table2[[#This Row],[Input Here]])</f>
        <v/>
      </c>
    </row>
    <row r="310" spans="1:2" x14ac:dyDescent="0.25">
      <c r="A310" t="s">
        <v>11</v>
      </c>
      <c r="B310" t="str" cm="1">
        <f t="array" ref="B310">categorize(Table2[[#This Row],[Input Here]])</f>
        <v/>
      </c>
    </row>
    <row r="311" spans="1:2" x14ac:dyDescent="0.25">
      <c r="A311" t="s">
        <v>32</v>
      </c>
      <c r="B311" t="str" cm="1">
        <f t="array" ref="B311">categorize(Table2[[#This Row],[Input Here]])</f>
        <v/>
      </c>
    </row>
    <row r="312" spans="1:2" x14ac:dyDescent="0.25">
      <c r="A312" t="s">
        <v>22</v>
      </c>
      <c r="B312" t="str" cm="1">
        <f t="array" ref="B312">categorize(Table2[[#This Row],[Input Here]])</f>
        <v/>
      </c>
    </row>
    <row r="313" spans="1:2" x14ac:dyDescent="0.25">
      <c r="A313" t="s">
        <v>33</v>
      </c>
      <c r="B313" t="str" cm="1">
        <f t="array" ref="B313">categorize(Table2[[#This Row],[Input Here]])</f>
        <v/>
      </c>
    </row>
    <row r="314" spans="1:2" x14ac:dyDescent="0.25">
      <c r="A314" t="s">
        <v>16</v>
      </c>
      <c r="B314" t="str" cm="1">
        <f t="array" ref="B314">categorize(Table2[[#This Row],[Input Here]])</f>
        <v/>
      </c>
    </row>
    <row r="315" spans="1:2" x14ac:dyDescent="0.25">
      <c r="A315" t="s">
        <v>40</v>
      </c>
      <c r="B315" t="str" cm="1">
        <f t="array" ref="B315">categorize(Table2[[#This Row],[Input Here]])</f>
        <v/>
      </c>
    </row>
    <row r="316" spans="1:2" x14ac:dyDescent="0.25">
      <c r="A316" t="s">
        <v>40</v>
      </c>
      <c r="B316" t="str" cm="1">
        <f t="array" ref="B316">categorize(Table2[[#This Row],[Input Here]])</f>
        <v/>
      </c>
    </row>
    <row r="317" spans="1:2" x14ac:dyDescent="0.25">
      <c r="A317" t="s">
        <v>6</v>
      </c>
      <c r="B317" t="str" cm="1">
        <f t="array" ref="B317">categorize(Table2[[#This Row],[Input Here]])</f>
        <v/>
      </c>
    </row>
    <row r="318" spans="1:2" x14ac:dyDescent="0.25">
      <c r="A318" t="s">
        <v>11</v>
      </c>
      <c r="B318" t="str" cm="1">
        <f t="array" ref="B318">categorize(Table2[[#This Row],[Input Here]])</f>
        <v/>
      </c>
    </row>
    <row r="319" spans="1:2" x14ac:dyDescent="0.25">
      <c r="A319" t="s">
        <v>32</v>
      </c>
      <c r="B319" t="str" cm="1">
        <f t="array" ref="B319">categorize(Table2[[#This Row],[Input Here]])</f>
        <v/>
      </c>
    </row>
    <row r="320" spans="1:2" x14ac:dyDescent="0.25">
      <c r="A320" t="s">
        <v>22</v>
      </c>
      <c r="B320" t="str" cm="1">
        <f t="array" ref="B320">categorize(Table2[[#This Row],[Input Here]])</f>
        <v/>
      </c>
    </row>
    <row r="321" spans="1:2" x14ac:dyDescent="0.25">
      <c r="A321" t="s">
        <v>33</v>
      </c>
      <c r="B321" t="str" cm="1">
        <f t="array" ref="B321">categorize(Table2[[#This Row],[Input Here]])</f>
        <v/>
      </c>
    </row>
    <row r="322" spans="1:2" x14ac:dyDescent="0.25">
      <c r="A322" t="s">
        <v>16</v>
      </c>
      <c r="B322" t="str" cm="1">
        <f t="array" ref="B322">categorize(Table2[[#This Row],[Input Here]])</f>
        <v/>
      </c>
    </row>
    <row r="323" spans="1:2" x14ac:dyDescent="0.25">
      <c r="A323" t="s">
        <v>40</v>
      </c>
      <c r="B323" t="str" cm="1">
        <f t="array" ref="B323">categorize(Table2[[#This Row],[Input Here]])</f>
        <v/>
      </c>
    </row>
    <row r="324" spans="1:2" x14ac:dyDescent="0.25">
      <c r="A324" t="s">
        <v>40</v>
      </c>
      <c r="B324" t="str" cm="1">
        <f t="array" ref="B324">categorize(Table2[[#This Row],[Input Here]])</f>
        <v/>
      </c>
    </row>
    <row r="325" spans="1:2" x14ac:dyDescent="0.25">
      <c r="A325" t="s">
        <v>26</v>
      </c>
      <c r="B325" t="str" cm="1">
        <f t="array" ref="B325">categorize(Table2[[#This Row],[Input Here]])</f>
        <v/>
      </c>
    </row>
    <row r="326" spans="1:2" x14ac:dyDescent="0.25">
      <c r="A326" t="s">
        <v>10</v>
      </c>
      <c r="B326" t="str" cm="1">
        <f t="array" ref="B326">categorize(Table2[[#This Row],[Input Here]])</f>
        <v/>
      </c>
    </row>
    <row r="327" spans="1:2" x14ac:dyDescent="0.25">
      <c r="A327" t="s">
        <v>26</v>
      </c>
      <c r="B327" t="str" cm="1">
        <f t="array" ref="B327">categorize(Table2[[#This Row],[Input Here]])</f>
        <v/>
      </c>
    </row>
    <row r="328" spans="1:2" x14ac:dyDescent="0.25">
      <c r="A328" t="s">
        <v>41</v>
      </c>
      <c r="B328" t="str" cm="1">
        <f t="array" ref="B328">categorize(Table2[[#This Row],[Input Here]])</f>
        <v/>
      </c>
    </row>
    <row r="329" spans="1:2" x14ac:dyDescent="0.25">
      <c r="A329" t="s">
        <v>2</v>
      </c>
      <c r="B329" t="str" cm="1">
        <f t="array" ref="B329">categorize(Table2[[#This Row],[Input Here]])</f>
        <v/>
      </c>
    </row>
    <row r="330" spans="1:2" x14ac:dyDescent="0.25">
      <c r="A330" t="s">
        <v>2</v>
      </c>
      <c r="B330" t="str" cm="1">
        <f t="array" ref="B330">categorize(Table2[[#This Row],[Input Here]])</f>
        <v/>
      </c>
    </row>
    <row r="331" spans="1:2" x14ac:dyDescent="0.25">
      <c r="A331" t="s">
        <v>19</v>
      </c>
      <c r="B331" t="str" cm="1">
        <f t="array" ref="B331">categorize(Table2[[#This Row],[Input Here]])</f>
        <v/>
      </c>
    </row>
    <row r="332" spans="1:2" x14ac:dyDescent="0.25">
      <c r="A332" t="s">
        <v>19</v>
      </c>
      <c r="B332" t="str" cm="1">
        <f t="array" ref="B332">categorize(Table2[[#This Row],[Input Here]])</f>
        <v/>
      </c>
    </row>
    <row r="333" spans="1:2" x14ac:dyDescent="0.25">
      <c r="A333" t="s">
        <v>19</v>
      </c>
      <c r="B333" t="str" cm="1">
        <f t="array" ref="B333">categorize(Table2[[#This Row],[Input Here]])</f>
        <v/>
      </c>
    </row>
    <row r="334" spans="1:2" x14ac:dyDescent="0.25">
      <c r="A334" t="s">
        <v>19</v>
      </c>
      <c r="B334" t="str" cm="1">
        <f t="array" ref="B334">categorize(Table2[[#This Row],[Input Here]])</f>
        <v/>
      </c>
    </row>
    <row r="335" spans="1:2" x14ac:dyDescent="0.25">
      <c r="A335" t="s">
        <v>19</v>
      </c>
      <c r="B335" t="str" cm="1">
        <f t="array" ref="B335">categorize(Table2[[#This Row],[Input Here]])</f>
        <v/>
      </c>
    </row>
    <row r="336" spans="1:2" x14ac:dyDescent="0.25">
      <c r="A336" t="s">
        <v>19</v>
      </c>
      <c r="B336" t="str" cm="1">
        <f t="array" ref="B336">categorize(Table2[[#This Row],[Input Here]])</f>
        <v/>
      </c>
    </row>
    <row r="337" spans="1:2" x14ac:dyDescent="0.25">
      <c r="A337" t="s">
        <v>19</v>
      </c>
      <c r="B337" t="str" cm="1">
        <f t="array" ref="B337">categorize(Table2[[#This Row],[Input Here]])</f>
        <v/>
      </c>
    </row>
    <row r="338" spans="1:2" x14ac:dyDescent="0.25">
      <c r="A338" t="s">
        <v>19</v>
      </c>
      <c r="B338" t="str" cm="1">
        <f t="array" ref="B338">categorize(Table2[[#This Row],[Input Here]])</f>
        <v/>
      </c>
    </row>
    <row r="339" spans="1:2" x14ac:dyDescent="0.25">
      <c r="A339" t="s">
        <v>19</v>
      </c>
      <c r="B339" t="str" cm="1">
        <f t="array" ref="B339">categorize(Table2[[#This Row],[Input Here]])</f>
        <v/>
      </c>
    </row>
    <row r="340" spans="1:2" x14ac:dyDescent="0.25">
      <c r="A340" t="s">
        <v>19</v>
      </c>
      <c r="B340" t="str" cm="1">
        <f t="array" ref="B340">categorize(Table2[[#This Row],[Input Here]])</f>
        <v/>
      </c>
    </row>
    <row r="341" spans="1:2" x14ac:dyDescent="0.25">
      <c r="A341" t="s">
        <v>19</v>
      </c>
      <c r="B341" t="str" cm="1">
        <f t="array" ref="B341">categorize(Table2[[#This Row],[Input Here]])</f>
        <v/>
      </c>
    </row>
    <row r="342" spans="1:2" x14ac:dyDescent="0.25">
      <c r="A342" t="s">
        <v>19</v>
      </c>
      <c r="B342" t="str" cm="1">
        <f t="array" ref="B342">categorize(Table2[[#This Row],[Input Here]])</f>
        <v/>
      </c>
    </row>
    <row r="343" spans="1:2" x14ac:dyDescent="0.25">
      <c r="A343" t="s">
        <v>19</v>
      </c>
      <c r="B343" t="str" cm="1">
        <f t="array" ref="B343">categorize(Table2[[#This Row],[Input Here]])</f>
        <v/>
      </c>
    </row>
    <row r="344" spans="1:2" x14ac:dyDescent="0.25">
      <c r="A344" t="s">
        <v>19</v>
      </c>
      <c r="B344" t="str" cm="1">
        <f t="array" ref="B344">categorize(Table2[[#This Row],[Input Here]])</f>
        <v/>
      </c>
    </row>
    <row r="345" spans="1:2" x14ac:dyDescent="0.25">
      <c r="A345" t="s">
        <v>19</v>
      </c>
      <c r="B345" t="str" cm="1">
        <f t="array" ref="B345">categorize(Table2[[#This Row],[Input Here]])</f>
        <v/>
      </c>
    </row>
    <row r="346" spans="1:2" x14ac:dyDescent="0.25">
      <c r="A346" t="s">
        <v>19</v>
      </c>
      <c r="B346" t="str" cm="1">
        <f t="array" ref="B346">categorize(Table2[[#This Row],[Input Here]])</f>
        <v/>
      </c>
    </row>
    <row r="347" spans="1:2" x14ac:dyDescent="0.25">
      <c r="A347" t="s">
        <v>19</v>
      </c>
      <c r="B347" t="str" cm="1">
        <f t="array" ref="B347">categorize(Table2[[#This Row],[Input Here]])</f>
        <v/>
      </c>
    </row>
    <row r="348" spans="1:2" x14ac:dyDescent="0.25">
      <c r="A348" t="s">
        <v>19</v>
      </c>
      <c r="B348" t="str" cm="1">
        <f t="array" ref="B348">categorize(Table2[[#This Row],[Input Here]])</f>
        <v/>
      </c>
    </row>
    <row r="349" spans="1:2" x14ac:dyDescent="0.25">
      <c r="A349" t="s">
        <v>19</v>
      </c>
      <c r="B349" t="str" cm="1">
        <f t="array" ref="B349">categorize(Table2[[#This Row],[Input Here]])</f>
        <v/>
      </c>
    </row>
    <row r="350" spans="1:2" x14ac:dyDescent="0.25">
      <c r="A350" t="s">
        <v>31</v>
      </c>
      <c r="B350" t="str" cm="1">
        <f t="array" ref="B350">categorize(Table2[[#This Row],[Input Here]])</f>
        <v/>
      </c>
    </row>
    <row r="351" spans="1:2" x14ac:dyDescent="0.25">
      <c r="A351" t="s">
        <v>31</v>
      </c>
      <c r="B351" t="str" cm="1">
        <f t="array" ref="B351">categorize(Table2[[#This Row],[Input Here]])</f>
        <v/>
      </c>
    </row>
    <row r="352" spans="1:2" x14ac:dyDescent="0.25">
      <c r="A352" t="s">
        <v>31</v>
      </c>
      <c r="B352" t="str" cm="1">
        <f t="array" ref="B352">categorize(Table2[[#This Row],[Input Here]])</f>
        <v/>
      </c>
    </row>
    <row r="353" spans="1:2" x14ac:dyDescent="0.25">
      <c r="A353" t="s">
        <v>31</v>
      </c>
      <c r="B353" t="str" cm="1">
        <f t="array" ref="B353">categorize(Table2[[#This Row],[Input Here]])</f>
        <v/>
      </c>
    </row>
    <row r="354" spans="1:2" x14ac:dyDescent="0.25">
      <c r="A354" t="s">
        <v>31</v>
      </c>
      <c r="B354" t="str" cm="1">
        <f t="array" ref="B354">categorize(Table2[[#This Row],[Input Here]])</f>
        <v/>
      </c>
    </row>
    <row r="355" spans="1:2" x14ac:dyDescent="0.25">
      <c r="A355" t="s">
        <v>31</v>
      </c>
      <c r="B355" t="str" cm="1">
        <f t="array" ref="B355">categorize(Table2[[#This Row],[Input Here]])</f>
        <v/>
      </c>
    </row>
    <row r="356" spans="1:2" x14ac:dyDescent="0.25">
      <c r="A356" t="s">
        <v>31</v>
      </c>
      <c r="B356" t="str" cm="1">
        <f t="array" ref="B356">categorize(Table2[[#This Row],[Input Here]])</f>
        <v/>
      </c>
    </row>
    <row r="357" spans="1:2" x14ac:dyDescent="0.25">
      <c r="A357" t="s">
        <v>31</v>
      </c>
      <c r="B357" t="str" cm="1">
        <f t="array" ref="B357">categorize(Table2[[#This Row],[Input Here]])</f>
        <v/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A961A-9A55-4509-ABA0-927450ED667C}">
  <sheetPr codeName="Sheet4"/>
  <dimension ref="A3:B28"/>
  <sheetViews>
    <sheetView workbookViewId="0">
      <selection activeCell="A5" sqref="A5"/>
    </sheetView>
  </sheetViews>
  <sheetFormatPr defaultRowHeight="15" x14ac:dyDescent="0.25"/>
  <cols>
    <col min="1" max="1" width="35.5703125" bestFit="1" customWidth="1"/>
    <col min="2" max="2" width="31.85546875" bestFit="1" customWidth="1"/>
  </cols>
  <sheetData>
    <row r="3" spans="1:2" x14ac:dyDescent="0.25">
      <c r="A3" s="1" t="s">
        <v>28</v>
      </c>
      <c r="B3" s="1" t="s">
        <v>29</v>
      </c>
    </row>
    <row r="4" spans="1:2" x14ac:dyDescent="0.25">
      <c r="A4" t="s">
        <v>8</v>
      </c>
      <c r="B4" t="s">
        <v>7</v>
      </c>
    </row>
    <row r="5" spans="1:2" x14ac:dyDescent="0.25">
      <c r="A5" t="s">
        <v>15</v>
      </c>
      <c r="B5" t="s">
        <v>14</v>
      </c>
    </row>
    <row r="6" spans="1:2" x14ac:dyDescent="0.25">
      <c r="A6" t="s">
        <v>1</v>
      </c>
      <c r="B6" t="s">
        <v>16</v>
      </c>
    </row>
    <row r="7" spans="1:2" x14ac:dyDescent="0.25">
      <c r="B7" t="s">
        <v>0</v>
      </c>
    </row>
    <row r="8" spans="1:2" x14ac:dyDescent="0.25">
      <c r="B8" t="s">
        <v>27</v>
      </c>
    </row>
    <row r="9" spans="1:2" x14ac:dyDescent="0.25">
      <c r="B9" t="s">
        <v>4</v>
      </c>
    </row>
    <row r="10" spans="1:2" x14ac:dyDescent="0.25">
      <c r="B10" t="s">
        <v>9</v>
      </c>
    </row>
    <row r="11" spans="1:2" x14ac:dyDescent="0.25">
      <c r="B11" t="s">
        <v>22</v>
      </c>
    </row>
    <row r="12" spans="1:2" x14ac:dyDescent="0.25">
      <c r="B12" t="s">
        <v>12</v>
      </c>
    </row>
    <row r="13" spans="1:2" x14ac:dyDescent="0.25">
      <c r="B13" t="s">
        <v>11</v>
      </c>
    </row>
    <row r="14" spans="1:2" x14ac:dyDescent="0.25">
      <c r="B14" t="s">
        <v>5</v>
      </c>
    </row>
    <row r="15" spans="1:2" x14ac:dyDescent="0.25">
      <c r="A15" t="s">
        <v>3</v>
      </c>
      <c r="B15" t="s">
        <v>24</v>
      </c>
    </row>
    <row r="16" spans="1:2" x14ac:dyDescent="0.25">
      <c r="B16" t="s">
        <v>2</v>
      </c>
    </row>
    <row r="17" spans="1:2" x14ac:dyDescent="0.25">
      <c r="B17" t="s">
        <v>17</v>
      </c>
    </row>
    <row r="18" spans="1:2" x14ac:dyDescent="0.25">
      <c r="B18" t="s">
        <v>18</v>
      </c>
    </row>
    <row r="19" spans="1:2" x14ac:dyDescent="0.25">
      <c r="B19" t="s">
        <v>6</v>
      </c>
    </row>
    <row r="20" spans="1:2" x14ac:dyDescent="0.25">
      <c r="B20" t="s">
        <v>19</v>
      </c>
    </row>
    <row r="21" spans="1:2" x14ac:dyDescent="0.25">
      <c r="B21" t="s">
        <v>20</v>
      </c>
    </row>
    <row r="22" spans="1:2" x14ac:dyDescent="0.25">
      <c r="B22" t="s">
        <v>13</v>
      </c>
    </row>
    <row r="23" spans="1:2" x14ac:dyDescent="0.25">
      <c r="B23" t="s">
        <v>25</v>
      </c>
    </row>
    <row r="24" spans="1:2" x14ac:dyDescent="0.25">
      <c r="B24" t="s">
        <v>21</v>
      </c>
    </row>
    <row r="25" spans="1:2" x14ac:dyDescent="0.25">
      <c r="B25" t="s">
        <v>10</v>
      </c>
    </row>
    <row r="26" spans="1:2" x14ac:dyDescent="0.25">
      <c r="B26" t="s">
        <v>26</v>
      </c>
    </row>
    <row r="27" spans="1:2" x14ac:dyDescent="0.25">
      <c r="B27" t="s">
        <v>23</v>
      </c>
    </row>
    <row r="28" spans="1:2" x14ac:dyDescent="0.25">
      <c r="A28" t="s">
        <v>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1DF8E-DA20-41FF-A1B8-231E87B3539A}">
  <sheetPr codeName="Sheet6"/>
  <dimension ref="A1:A275"/>
  <sheetViews>
    <sheetView workbookViewId="0">
      <selection activeCell="G10" sqref="G10"/>
    </sheetView>
  </sheetViews>
  <sheetFormatPr defaultRowHeight="15" x14ac:dyDescent="0.25"/>
  <cols>
    <col min="1" max="1" width="54.85546875" style="3" bestFit="1" customWidth="1"/>
  </cols>
  <sheetData>
    <row r="1" spans="1:1" x14ac:dyDescent="0.25">
      <c r="A1" s="3" t="s">
        <v>510</v>
      </c>
    </row>
    <row r="2" spans="1:1" x14ac:dyDescent="0.25">
      <c r="A2" s="3" t="s">
        <v>473</v>
      </c>
    </row>
    <row r="3" spans="1:1" x14ac:dyDescent="0.25">
      <c r="A3" s="3" t="s">
        <v>474</v>
      </c>
    </row>
    <row r="4" spans="1:1" x14ac:dyDescent="0.25">
      <c r="A4" s="3" t="s">
        <v>475</v>
      </c>
    </row>
    <row r="5" spans="1:1" x14ac:dyDescent="0.25">
      <c r="A5" s="3" t="s">
        <v>476</v>
      </c>
    </row>
    <row r="6" spans="1:1" x14ac:dyDescent="0.25">
      <c r="A6" s="3" t="s">
        <v>477</v>
      </c>
    </row>
    <row r="7" spans="1:1" x14ac:dyDescent="0.25">
      <c r="A7" s="3" t="s">
        <v>478</v>
      </c>
    </row>
    <row r="8" spans="1:1" x14ac:dyDescent="0.25">
      <c r="A8" s="3" t="s">
        <v>479</v>
      </c>
    </row>
    <row r="9" spans="1:1" x14ac:dyDescent="0.25">
      <c r="A9" s="3" t="s">
        <v>480</v>
      </c>
    </row>
    <row r="10" spans="1:1" x14ac:dyDescent="0.25">
      <c r="A10" s="3" t="s">
        <v>481</v>
      </c>
    </row>
    <row r="11" spans="1:1" x14ac:dyDescent="0.25">
      <c r="A11" s="3" t="s">
        <v>482</v>
      </c>
    </row>
    <row r="12" spans="1:1" x14ac:dyDescent="0.25">
      <c r="A12" s="3" t="s">
        <v>483</v>
      </c>
    </row>
    <row r="13" spans="1:1" x14ac:dyDescent="0.25">
      <c r="A13" s="3" t="s">
        <v>484</v>
      </c>
    </row>
    <row r="14" spans="1:1" x14ac:dyDescent="0.25">
      <c r="A14" s="3" t="s">
        <v>485</v>
      </c>
    </row>
    <row r="15" spans="1:1" x14ac:dyDescent="0.25">
      <c r="A15" s="3" t="s">
        <v>486</v>
      </c>
    </row>
    <row r="16" spans="1:1" x14ac:dyDescent="0.25">
      <c r="A16" s="3" t="s">
        <v>487</v>
      </c>
    </row>
    <row r="17" spans="1:1" x14ac:dyDescent="0.25">
      <c r="A17" s="3" t="s">
        <v>488</v>
      </c>
    </row>
    <row r="18" spans="1:1" x14ac:dyDescent="0.25">
      <c r="A18" s="3" t="s">
        <v>489</v>
      </c>
    </row>
    <row r="19" spans="1:1" x14ac:dyDescent="0.25">
      <c r="A19" s="3" t="s">
        <v>490</v>
      </c>
    </row>
    <row r="20" spans="1:1" x14ac:dyDescent="0.25">
      <c r="A20" s="3" t="s">
        <v>491</v>
      </c>
    </row>
    <row r="21" spans="1:1" x14ac:dyDescent="0.25">
      <c r="A21" s="3" t="s">
        <v>403</v>
      </c>
    </row>
    <row r="22" spans="1:1" x14ac:dyDescent="0.25">
      <c r="A22" s="3" t="s">
        <v>492</v>
      </c>
    </row>
    <row r="23" spans="1:1" x14ac:dyDescent="0.25">
      <c r="A23" s="3" t="s">
        <v>493</v>
      </c>
    </row>
    <row r="24" spans="1:1" x14ac:dyDescent="0.25">
      <c r="A24" s="3" t="s">
        <v>494</v>
      </c>
    </row>
    <row r="25" spans="1:1" x14ac:dyDescent="0.25">
      <c r="A25" s="3" t="s">
        <v>411</v>
      </c>
    </row>
    <row r="26" spans="1:1" x14ac:dyDescent="0.25">
      <c r="A26" s="3" t="s">
        <v>495</v>
      </c>
    </row>
    <row r="27" spans="1:1" x14ac:dyDescent="0.25">
      <c r="A27" s="3" t="s">
        <v>496</v>
      </c>
    </row>
    <row r="28" spans="1:1" x14ac:dyDescent="0.25">
      <c r="A28" s="3" t="s">
        <v>497</v>
      </c>
    </row>
    <row r="29" spans="1:1" x14ac:dyDescent="0.25">
      <c r="A29" s="3" t="s">
        <v>498</v>
      </c>
    </row>
    <row r="30" spans="1:1" x14ac:dyDescent="0.25">
      <c r="A30" s="3" t="s">
        <v>499</v>
      </c>
    </row>
    <row r="31" spans="1:1" x14ac:dyDescent="0.25">
      <c r="A31" s="3" t="s">
        <v>500</v>
      </c>
    </row>
    <row r="32" spans="1:1" x14ac:dyDescent="0.25">
      <c r="A32" s="3" t="s">
        <v>501</v>
      </c>
    </row>
    <row r="33" spans="1:1" x14ac:dyDescent="0.25">
      <c r="A33" s="3" t="s">
        <v>502</v>
      </c>
    </row>
    <row r="34" spans="1:1" x14ac:dyDescent="0.25">
      <c r="A34" s="3" t="s">
        <v>503</v>
      </c>
    </row>
    <row r="35" spans="1:1" x14ac:dyDescent="0.25">
      <c r="A35" s="3" t="s">
        <v>504</v>
      </c>
    </row>
    <row r="36" spans="1:1" x14ac:dyDescent="0.25">
      <c r="A36" s="3" t="s">
        <v>505</v>
      </c>
    </row>
    <row r="37" spans="1:1" x14ac:dyDescent="0.25">
      <c r="A37" s="3" t="s">
        <v>506</v>
      </c>
    </row>
    <row r="38" spans="1:1" x14ac:dyDescent="0.25">
      <c r="A38" s="3" t="s">
        <v>507</v>
      </c>
    </row>
    <row r="39" spans="1:1" x14ac:dyDescent="0.25">
      <c r="A39" s="3" t="s">
        <v>508</v>
      </c>
    </row>
    <row r="40" spans="1:1" x14ac:dyDescent="0.25">
      <c r="A40" s="3" t="s">
        <v>509</v>
      </c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spans="1:1" x14ac:dyDescent="0.25">
      <c r="A273"/>
    </row>
    <row r="274" spans="1:1" x14ac:dyDescent="0.25">
      <c r="A274"/>
    </row>
    <row r="275" spans="1:1" x14ac:dyDescent="0.25">
      <c r="A27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 Data Oricale</vt:lpstr>
      <vt:lpstr>For Collection</vt:lpstr>
      <vt:lpstr>General Categroization</vt:lpstr>
      <vt:lpstr>Interface</vt:lpstr>
      <vt:lpstr>Summary</vt:lpstr>
      <vt:lpstr>Clients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Gaballah</dc:creator>
  <cp:lastModifiedBy>Mohamed Gaballah</cp:lastModifiedBy>
  <dcterms:created xsi:type="dcterms:W3CDTF">2023-05-30T07:00:15Z</dcterms:created>
  <dcterms:modified xsi:type="dcterms:W3CDTF">2023-07-16T12:16:17Z</dcterms:modified>
</cp:coreProperties>
</file>